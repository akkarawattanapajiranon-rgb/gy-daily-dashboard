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oodyearcorp.sharepoint.com/sites/ThailandEHS/Shared Documents/LSP Tracking/2026 LSP tracking/"/>
    </mc:Choice>
  </mc:AlternateContent>
  <xr:revisionPtr revIDLastSave="0" documentId="8_{61455404-0560-454C-98B9-99DAD46AB576}" xr6:coauthVersionLast="47" xr6:coauthVersionMax="47" xr10:uidLastSave="{00000000-0000-0000-0000-000000000000}"/>
  <bookViews>
    <workbookView xWindow="11424" yWindow="0" windowWidth="11712" windowHeight="12336" firstSheet="2" activeTab="2" xr2:uid="{F8EEEABD-5E0E-4CC6-955F-47CD649A35F0}"/>
  </bookViews>
  <sheets>
    <sheet name="R&amp;R" sheetId="3" state="hidden" r:id="rId1"/>
    <sheet name="A _GOEHS-Salary-Leader" sheetId="1" r:id="rId2"/>
    <sheet name="B_QR-Hourly-Leader" sheetId="2" r:id="rId3"/>
  </sheets>
  <definedNames>
    <definedName name="_xlnm._FilterDatabase" localSheetId="1" hidden="1">'A _GOEHS-Salary-Leader'!$A$1:$AF$56</definedName>
    <definedName name="_xlnm._FilterDatabase" localSheetId="2" hidden="1">'B_QR-Hourly-Leader'!$A$1:$AG$60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0" i="1" l="1"/>
  <c r="S100" i="1" l="1"/>
  <c r="S101" i="1"/>
  <c r="S102" i="1"/>
  <c r="S103" i="1"/>
  <c r="S104" i="1"/>
  <c r="S105" i="1"/>
  <c r="S106" i="1"/>
  <c r="S107" i="1"/>
  <c r="S108" i="1"/>
  <c r="S99" i="1"/>
  <c r="AF70" i="2"/>
  <c r="AE71" i="2" s="1"/>
  <c r="AF72" i="2"/>
  <c r="AE73" i="2" s="1"/>
  <c r="AF74" i="2"/>
  <c r="AE75" i="2" s="1"/>
  <c r="AF68" i="2"/>
  <c r="AE69" i="2" s="1"/>
  <c r="AE70" i="2"/>
  <c r="AE72" i="2"/>
  <c r="AE74" i="2"/>
  <c r="AE68" i="2"/>
  <c r="AC75" i="2"/>
  <c r="AC73" i="2"/>
  <c r="AC71" i="2"/>
  <c r="AC69" i="2"/>
  <c r="AA75" i="2"/>
  <c r="AA73" i="2"/>
  <c r="AA71" i="2"/>
  <c r="AA69" i="2"/>
  <c r="Y75" i="2"/>
  <c r="Y73" i="2"/>
  <c r="Y71" i="2"/>
  <c r="Y69" i="2"/>
  <c r="W75" i="2"/>
  <c r="U75" i="2"/>
  <c r="S75" i="2"/>
  <c r="Q75" i="2"/>
  <c r="O75" i="2"/>
  <c r="M75" i="2"/>
  <c r="K75" i="2"/>
  <c r="I75" i="2"/>
  <c r="G75" i="2"/>
  <c r="Q73" i="2"/>
  <c r="W73" i="2"/>
  <c r="U73" i="2"/>
  <c r="S73" i="2"/>
  <c r="O73" i="2"/>
  <c r="M73" i="2"/>
  <c r="K73" i="2"/>
  <c r="I73" i="2"/>
  <c r="G73" i="2"/>
  <c r="W71" i="2"/>
  <c r="U71" i="2"/>
  <c r="S71" i="2"/>
  <c r="Q71" i="2"/>
  <c r="O71" i="2"/>
  <c r="M71" i="2"/>
  <c r="K71" i="2"/>
  <c r="I71" i="2"/>
  <c r="G71" i="2"/>
  <c r="I69" i="2"/>
  <c r="K69" i="2"/>
  <c r="M69" i="2"/>
  <c r="O69" i="2"/>
  <c r="Q69" i="2"/>
  <c r="S69" i="2"/>
  <c r="U69" i="2"/>
  <c r="W69" i="2"/>
  <c r="G69" i="2"/>
  <c r="G55" i="2"/>
  <c r="I68" i="1"/>
  <c r="H68" i="1"/>
  <c r="H69" i="1"/>
  <c r="H100" i="1"/>
  <c r="H99" i="1"/>
  <c r="G99" i="1"/>
  <c r="N109" i="1"/>
  <c r="K103" i="1"/>
  <c r="M99" i="1"/>
  <c r="L99" i="1"/>
  <c r="K99" i="1"/>
  <c r="J99" i="1"/>
  <c r="I99" i="1"/>
  <c r="N99" i="1"/>
  <c r="W98" i="1"/>
  <c r="X97" i="1"/>
  <c r="W97" i="1"/>
  <c r="V55" i="2"/>
  <c r="N102" i="1"/>
  <c r="N100" i="1"/>
  <c r="N108" i="1"/>
  <c r="N107" i="1"/>
  <c r="N106" i="1"/>
  <c r="N105" i="1"/>
  <c r="N104" i="1"/>
  <c r="N103" i="1"/>
  <c r="N101" i="1"/>
  <c r="H63" i="1"/>
  <c r="H65" i="1"/>
  <c r="H67" i="1"/>
  <c r="AF10" i="2"/>
  <c r="AF5" i="2"/>
  <c r="AF6" i="2"/>
  <c r="AF7" i="2"/>
  <c r="AF8" i="2"/>
  <c r="AF9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4" i="2"/>
  <c r="AF4" i="1"/>
  <c r="U55" i="2"/>
  <c r="S55" i="2"/>
  <c r="Q55" i="2"/>
  <c r="O55" i="2"/>
  <c r="M55" i="2"/>
  <c r="K55" i="2"/>
  <c r="I55" i="2"/>
  <c r="W55" i="2"/>
  <c r="H109" i="1"/>
  <c r="I109" i="1"/>
  <c r="J109" i="1"/>
  <c r="K109" i="1"/>
  <c r="L109" i="1"/>
  <c r="M109" i="1"/>
  <c r="O109" i="1"/>
  <c r="P109" i="1"/>
  <c r="Q109" i="1"/>
  <c r="R109" i="1"/>
  <c r="G109" i="1"/>
  <c r="I105" i="1"/>
  <c r="H105" i="1"/>
  <c r="G105" i="1"/>
  <c r="M103" i="1"/>
  <c r="L103" i="1"/>
  <c r="J103" i="1"/>
  <c r="I103" i="1"/>
  <c r="H103" i="1"/>
  <c r="G103" i="1"/>
  <c r="AF21" i="1"/>
  <c r="AF55" i="1"/>
  <c r="AF62" i="1"/>
  <c r="L102" i="1"/>
  <c r="G102" i="1"/>
  <c r="M104" i="1"/>
  <c r="J104" i="1"/>
  <c r="I104" i="1"/>
  <c r="H104" i="1"/>
  <c r="G104" i="1"/>
  <c r="AG66" i="1"/>
  <c r="G107" i="1"/>
  <c r="G106" i="1"/>
  <c r="G101" i="1"/>
  <c r="G100" i="1"/>
  <c r="M106" i="1"/>
  <c r="V68" i="1"/>
  <c r="L106" i="1"/>
  <c r="K106" i="1"/>
  <c r="J106" i="1"/>
  <c r="I106" i="1"/>
  <c r="H106" i="1"/>
  <c r="M107" i="1"/>
  <c r="L107" i="1"/>
  <c r="K107" i="1"/>
  <c r="J107" i="1"/>
  <c r="I107" i="1"/>
  <c r="H107" i="1"/>
  <c r="M105" i="1"/>
  <c r="L105" i="1"/>
  <c r="K105" i="1"/>
  <c r="J105" i="1"/>
  <c r="L104" i="1"/>
  <c r="K104" i="1"/>
  <c r="K102" i="1"/>
  <c r="J102" i="1"/>
  <c r="I102" i="1"/>
  <c r="H102" i="1"/>
  <c r="K101" i="1"/>
  <c r="J101" i="1"/>
  <c r="I101" i="1"/>
  <c r="H101" i="1"/>
  <c r="L101" i="1"/>
  <c r="M102" i="1"/>
  <c r="M108" i="1"/>
  <c r="M101" i="1"/>
  <c r="M100" i="1"/>
  <c r="U58" i="2"/>
  <c r="U59" i="2" s="1"/>
  <c r="W68" i="1"/>
  <c r="J68" i="1"/>
  <c r="K68" i="1"/>
  <c r="L68" i="1"/>
  <c r="M68" i="1"/>
  <c r="N68" i="1"/>
  <c r="O68" i="1"/>
  <c r="P68" i="1"/>
  <c r="Q68" i="1"/>
  <c r="R68" i="1"/>
  <c r="R69" i="1" s="1"/>
  <c r="S68" i="1"/>
  <c r="U68" i="1"/>
  <c r="T68" i="1"/>
  <c r="T55" i="2"/>
  <c r="Q58" i="2"/>
  <c r="T58" i="2"/>
  <c r="S58" i="2"/>
  <c r="AF56" i="1"/>
  <c r="S109" i="1" l="1"/>
  <c r="AF68" i="1"/>
  <c r="AF69" i="1" s="1"/>
  <c r="L69" i="1"/>
  <c r="J69" i="1"/>
  <c r="P69" i="1"/>
  <c r="N69" i="1"/>
  <c r="AG68" i="1"/>
  <c r="V69" i="1"/>
  <c r="S56" i="2"/>
  <c r="T69" i="1"/>
  <c r="S59" i="2"/>
  <c r="R55" i="2" l="1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4" i="2"/>
  <c r="AE55" i="2" l="1"/>
  <c r="AF55" i="2"/>
  <c r="AE56" i="2" l="1"/>
  <c r="AG57" i="2"/>
  <c r="L108" i="1"/>
  <c r="L100" i="1"/>
  <c r="AF64" i="1"/>
  <c r="AG56" i="2"/>
  <c r="R58" i="2" l="1"/>
  <c r="P58" i="2"/>
  <c r="O58" i="2"/>
  <c r="R63" i="1"/>
  <c r="J108" i="1"/>
  <c r="I108" i="1"/>
  <c r="H108" i="1"/>
  <c r="G108" i="1"/>
  <c r="I100" i="1"/>
  <c r="J100" i="1"/>
  <c r="P55" i="2"/>
  <c r="AF15" i="1"/>
  <c r="AF66" i="1"/>
  <c r="N55" i="2"/>
  <c r="N58" i="2" s="1"/>
  <c r="M59" i="2" s="1"/>
  <c r="J67" i="1"/>
  <c r="L67" i="1"/>
  <c r="N67" i="1"/>
  <c r="P67" i="1"/>
  <c r="R67" i="1"/>
  <c r="T67" i="1"/>
  <c r="V67" i="1"/>
  <c r="X67" i="1"/>
  <c r="Z67" i="1"/>
  <c r="AB67" i="1"/>
  <c r="AD67" i="1"/>
  <c r="N65" i="1"/>
  <c r="P63" i="1"/>
  <c r="P65" i="1"/>
  <c r="J65" i="1"/>
  <c r="T65" i="1"/>
  <c r="Y64" i="1"/>
  <c r="AA64" i="1"/>
  <c r="AC64" i="1"/>
  <c r="AB65" i="1" s="1"/>
  <c r="AE64" i="1"/>
  <c r="N63" i="1"/>
  <c r="Y62" i="1"/>
  <c r="AA62" i="1"/>
  <c r="AC62" i="1"/>
  <c r="AB63" i="1" s="1"/>
  <c r="AE62" i="1"/>
  <c r="M58" i="2"/>
  <c r="Q59" i="2" l="1"/>
  <c r="O59" i="2"/>
  <c r="AD65" i="1"/>
  <c r="AG64" i="1"/>
  <c r="AF65" i="1" s="1"/>
  <c r="AD63" i="1"/>
  <c r="AG62" i="1"/>
  <c r="AF63" i="1" s="1"/>
  <c r="AF67" i="1"/>
  <c r="L65" i="1"/>
  <c r="T63" i="1"/>
  <c r="Z65" i="1"/>
  <c r="X65" i="1"/>
  <c r="V65" i="1"/>
  <c r="X63" i="1"/>
  <c r="J63" i="1"/>
  <c r="Z63" i="1"/>
  <c r="V63" i="1"/>
  <c r="L63" i="1"/>
  <c r="R65" i="1"/>
  <c r="AF38" i="1" l="1"/>
  <c r="K58" i="2" l="1"/>
  <c r="L55" i="2"/>
  <c r="AF5" i="1"/>
  <c r="AF6" i="1"/>
  <c r="AF7" i="1"/>
  <c r="AF8" i="1"/>
  <c r="AF9" i="1"/>
  <c r="AF10" i="1"/>
  <c r="AF11" i="1"/>
  <c r="AF12" i="1"/>
  <c r="AF13" i="1"/>
  <c r="AF14" i="1"/>
  <c r="AF16" i="1"/>
  <c r="AF17" i="1"/>
  <c r="AF18" i="1"/>
  <c r="AF19" i="1"/>
  <c r="AF20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K56" i="2" l="1"/>
  <c r="A1" i="1" l="1" a="1"/>
  <c r="A1" i="1" s="1"/>
  <c r="J55" i="2"/>
  <c r="H55" i="2"/>
  <c r="J58" i="2" l="1"/>
  <c r="L58" i="2"/>
  <c r="K59" i="2" s="1"/>
  <c r="Q56" i="2"/>
  <c r="X55" i="2"/>
  <c r="Y55" i="2"/>
  <c r="Z55" i="2"/>
  <c r="AA55" i="2"/>
  <c r="AB55" i="2"/>
  <c r="AC55" i="2"/>
  <c r="AD55" i="2"/>
  <c r="Y56" i="2" l="1"/>
  <c r="O56" i="2"/>
  <c r="AC56" i="2"/>
  <c r="I59" i="2"/>
  <c r="U56" i="2"/>
  <c r="I56" i="2"/>
  <c r="W56" i="2"/>
  <c r="AA56" i="2"/>
  <c r="M56" i="2"/>
  <c r="G56" i="2"/>
  <c r="H58" i="2"/>
  <c r="G5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<sst xmlns="http://schemas.openxmlformats.org/spreadsheetml/2006/main" count="585" uniqueCount="282">
  <si>
    <t>Activity</t>
  </si>
  <si>
    <t>Plant Director</t>
  </si>
  <si>
    <t>Production Mgr</t>
  </si>
  <si>
    <t>Dept Mgr</t>
  </si>
  <si>
    <t>Supervisor</t>
  </si>
  <si>
    <t>EHS</t>
  </si>
  <si>
    <t>Employee</t>
  </si>
  <si>
    <t>Define LSP rules</t>
  </si>
  <si>
    <t>R</t>
  </si>
  <si>
    <t>A/R/C</t>
  </si>
  <si>
    <t>I</t>
  </si>
  <si>
    <t>Conduct LSP inspection</t>
  </si>
  <si>
    <t>A/R</t>
  </si>
  <si>
    <t>A/C</t>
  </si>
  <si>
    <t>Finding deviaition Stop unsafe work</t>
  </si>
  <si>
    <t>Corrective action</t>
  </si>
  <si>
    <t>A</t>
  </si>
  <si>
    <t>C</t>
  </si>
  <si>
    <t>Management review</t>
  </si>
  <si>
    <t>LSP rules</t>
  </si>
  <si>
    <t>All leader inspect LSP in shop floor area as KPI required</t>
  </si>
  <si>
    <t>Target</t>
  </si>
  <si>
    <t>4time/month</t>
  </si>
  <si>
    <t>Salary</t>
  </si>
  <si>
    <t>Report LSP via GOEHS system</t>
  </si>
  <si>
    <t>Hourly</t>
  </si>
  <si>
    <t>Report LSP via QR code</t>
  </si>
  <si>
    <t>Defined name list who will be attend to LSP inspection</t>
  </si>
  <si>
    <t>Notify team via Plant DOR, BC DOR</t>
  </si>
  <si>
    <t>Weekly report by Loading information and update via E-mail</t>
  </si>
  <si>
    <t>Legacy ID</t>
  </si>
  <si>
    <t>Worker</t>
  </si>
  <si>
    <t>Business Title</t>
  </si>
  <si>
    <t xml:space="preserve"> LSP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</si>
  <si>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</si>
  <si>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</si>
  <si>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</si>
  <si>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</si>
  <si>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</si>
  <si>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</si>
  <si>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</si>
  <si>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</si>
  <si>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</si>
  <si>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</si>
  <si>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</si>
  <si>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</si>
  <si>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</si>
  <si>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BC</t>
  </si>
  <si>
    <t>Cost Center Code</t>
  </si>
  <si>
    <t>GOEHS Access</t>
  </si>
  <si>
    <t>AOP</t>
  </si>
  <si>
    <t>ACT</t>
  </si>
  <si>
    <t>Abhilash Sasidharan (อภิราช สาศิธาราญ)</t>
  </si>
  <si>
    <t>Quality Manager</t>
  </si>
  <si>
    <t>LT</t>
  </si>
  <si>
    <t>1021</t>
  </si>
  <si>
    <t>Akkarawat Tanapatjiranon (อัครวัฒน์ ธนพัตจิรานนท์)</t>
  </si>
  <si>
    <t>Business Center Manager</t>
  </si>
  <si>
    <t>BCA</t>
  </si>
  <si>
    <t>3200</t>
  </si>
  <si>
    <t>Amphai Sornnork (อำไพ สอนนอก)</t>
  </si>
  <si>
    <t>HR Manager - MFG</t>
  </si>
  <si>
    <t>1050</t>
  </si>
  <si>
    <t>Atiporn Mongkholmafai (อติพร มงคลมะไฟ)</t>
  </si>
  <si>
    <t>Quality Engineer - Associate - NPI</t>
  </si>
  <si>
    <t>BCB-Q</t>
  </si>
  <si>
    <t>Chana Kumnerdkarn (ชนะ กำเนิดกาญจน์)</t>
  </si>
  <si>
    <t>EHS Manager</t>
  </si>
  <si>
    <t>1056</t>
  </si>
  <si>
    <t>Chang Bae Na (ชาง แบ นา)</t>
  </si>
  <si>
    <t>Product Leader - Retread</t>
  </si>
  <si>
    <t>BCB-R</t>
  </si>
  <si>
    <t>6320</t>
  </si>
  <si>
    <t>Charley Gabon (ชาเล่ต์ กาบอล)</t>
  </si>
  <si>
    <t>Quality Engineer - Specialist - Uniformity</t>
  </si>
  <si>
    <t>BCB-C</t>
  </si>
  <si>
    <t>Chartchai Chantakhian (ชาติชาย จันทร์ตะเคียน)</t>
  </si>
  <si>
    <t>5110</t>
  </si>
  <si>
    <t>Damrongsak Yamjit (ดำรงศักดิ์ แย้มจิตร)</t>
  </si>
  <si>
    <t>HPT Leader</t>
  </si>
  <si>
    <t>BCB-A</t>
  </si>
  <si>
    <t>S5110</t>
  </si>
  <si>
    <t>Sarawut Wiset</t>
  </si>
  <si>
    <t>People Leader - Consumer Building</t>
  </si>
  <si>
    <t>Eric Cheng （程晓满）</t>
  </si>
  <si>
    <t>Manufacturing Director,Thailand</t>
  </si>
  <si>
    <t>1010</t>
  </si>
  <si>
    <t>Itsawat Uekun (อิษวัต อื้อกุล)</t>
  </si>
  <si>
    <t>Industrialization Manager</t>
  </si>
  <si>
    <t>9998</t>
  </si>
  <si>
    <t>JAKRAPONG Kaewparadai</t>
  </si>
  <si>
    <t>Facility Manager</t>
  </si>
  <si>
    <t>Engineer</t>
  </si>
  <si>
    <t>Kamol Chansue (กมล จั่นเสือ)</t>
  </si>
  <si>
    <t>People Leader - Extrusion Process</t>
  </si>
  <si>
    <t>Kant Limpitaks (กันต์ ลิ่มพิทักษ์)</t>
  </si>
  <si>
    <t>Product Leader</t>
  </si>
  <si>
    <t>BCA-Q</t>
  </si>
  <si>
    <t>1022</t>
  </si>
  <si>
    <t>Kawee Tantisattayarak (กวี ตันติสัตยารักษ์)</t>
  </si>
  <si>
    <t>Acting Business Center Manager-Aviation</t>
  </si>
  <si>
    <t>Kawinthra Manuwong (กวินทรา มานุวงศ์)</t>
  </si>
  <si>
    <t>Quality Engineer - Associate - QA Auditor &amp; Lab</t>
  </si>
  <si>
    <t>1040</t>
  </si>
  <si>
    <t>Kirdsana Iyarakanjankun (กฤษณะ ไอยรากาญจนกุล)</t>
  </si>
  <si>
    <t>Reliability Leader</t>
  </si>
  <si>
    <t>BCA-E</t>
  </si>
  <si>
    <t>1100</t>
  </si>
  <si>
    <t>Kitipan Pajit (กิติภัณฑ์ ปาจิตร)</t>
  </si>
  <si>
    <t>A5110</t>
  </si>
  <si>
    <t>Krittanan Kadsanit (กฤตนัน คาดสนิท)</t>
  </si>
  <si>
    <t>Compounder Engineer</t>
  </si>
  <si>
    <t>Linda Linda (ลินดา ลินดา)</t>
  </si>
  <si>
    <t>Finance Business Partner</t>
  </si>
  <si>
    <t>1030</t>
  </si>
  <si>
    <t>Narada Tempornbribun (นารดา เต็มพรบริบูรณ์)</t>
  </si>
  <si>
    <t>HR Business Partner</t>
  </si>
  <si>
    <t>BCA-HR</t>
  </si>
  <si>
    <t>Nichakamon Kaewkeadmee (ณิชากมล แก้วเกิดมี)</t>
  </si>
  <si>
    <t>BCB-HR</t>
  </si>
  <si>
    <t>Nithit Raktham (นิธิศ รักธรรม)</t>
  </si>
  <si>
    <t>Reliability Leader - Retread</t>
  </si>
  <si>
    <t>Paisal Phoompong (ไพศาล พุ่มพงษ์)</t>
  </si>
  <si>
    <t>Parintorn Premshue (ปรินทร เปรมชู)</t>
  </si>
  <si>
    <t>Phichet Dee-On (พิเชษฐ ดีอ้น)</t>
  </si>
  <si>
    <t>Product Leader - Extrusion</t>
  </si>
  <si>
    <t>Pinthusorn Prasertpolkrang (พินทุสร ประเสริฐพลกรัง)</t>
  </si>
  <si>
    <t>Product Leader - Calendars &amp; Cutters</t>
  </si>
  <si>
    <t>Piyaboon Thaijareon (ปิยบูรณ์ ไทยเจริญ)</t>
  </si>
  <si>
    <t>Product Leader - Tire Assembly</t>
  </si>
  <si>
    <t>Prasit Tajit (ประสิทธิ์ ธะจิต)</t>
  </si>
  <si>
    <t>Reliability Engineer</t>
  </si>
  <si>
    <t>GBS</t>
  </si>
  <si>
    <t>Saravut Jansin  (ศราวุทธ จันสินธุ์)</t>
  </si>
  <si>
    <t>Sakchai Chanthasri (ศักดิ์ชัย จันทะศรี)</t>
  </si>
  <si>
    <t>BCB-E</t>
  </si>
  <si>
    <t>Sangpian Thongvibul (แสงเพียร ทองวิบูลย์)</t>
  </si>
  <si>
    <t>Quality Engineer - Associate - QA Auditor</t>
  </si>
  <si>
    <t>Saowaluck Maneenil (เสาวลักษณ์ มณีนิล)</t>
  </si>
  <si>
    <t>Product Leader - Curing</t>
  </si>
  <si>
    <t>Somchai Tama (สมชาย ตามา)</t>
  </si>
  <si>
    <t>Safety Officer</t>
  </si>
  <si>
    <t>BCB-EHS</t>
  </si>
  <si>
    <t>Somrudee Sopa (สมฤดี โสภา)</t>
  </si>
  <si>
    <t>Quality Engineer - Associate - Specification Control</t>
  </si>
  <si>
    <t>Soontorn Mingma (สุนทร มิ่งมา)</t>
  </si>
  <si>
    <t>People Lead-Consumer Curing&amp;Final Finish</t>
  </si>
  <si>
    <t>5120</t>
  </si>
  <si>
    <t>Sudarak Thongtrirattanagul (สุดารักษ์</t>
  </si>
  <si>
    <t>Sujitra Wiriyakul (สุจิตรา วิริยากุล)</t>
  </si>
  <si>
    <t>Technical Team Leader- Business Center B</t>
  </si>
  <si>
    <t>Sunuttapong Siriluk (สุณัฐพงศ์ ศิริลักษณ์)</t>
  </si>
  <si>
    <t>Engineering Manager</t>
  </si>
  <si>
    <t>Suparerk Jandang (ศุภฤกษ์ จันทร์แดง)</t>
  </si>
  <si>
    <t>FI / IE Manager</t>
  </si>
  <si>
    <t>1011</t>
  </si>
  <si>
    <t>Tanu Itthirattanakomon (ธนู อิทธิรัตนะโกมล)</t>
  </si>
  <si>
    <t>Maintenance Manager</t>
  </si>
  <si>
    <t>Tithipat Srinoun (ฐิติภัทร สีนวล)</t>
  </si>
  <si>
    <t>Retread Plant Operations Leader</t>
  </si>
  <si>
    <t>Tosapol Praserttechato (ทศพล ประเสริฐเตชาโต)</t>
  </si>
  <si>
    <t>Production Manager</t>
  </si>
  <si>
    <t>Vattana Waewmanee (วรรธนะ แววมณี)</t>
  </si>
  <si>
    <t>Vinai Fuangfoo (วินัย เฟื่องฟู)</t>
  </si>
  <si>
    <t>Manufacturing Training Manager</t>
  </si>
  <si>
    <t>1053</t>
  </si>
  <si>
    <t>Wanrop Ardkamphan (วัณรพ อาจคำพันธ์)</t>
  </si>
  <si>
    <t>FI Specialist and Certified Black Belt</t>
  </si>
  <si>
    <t>Wata Phattanapong (วฐา พัฒนพงศ์)</t>
  </si>
  <si>
    <t>Environmental Engineer</t>
  </si>
  <si>
    <t>BCA-EHS</t>
  </si>
  <si>
    <t>Weerapong Wattanakool (วีระพงศ์ วัฒนกูล)</t>
  </si>
  <si>
    <t>Worraluk Kaisornsak (วรลักษณ์ ไข่ษรศักดิ์)</t>
  </si>
  <si>
    <t>Operation Analyst</t>
  </si>
  <si>
    <t>FI</t>
  </si>
  <si>
    <t>Yanisa Payakaveth (ญาณิศา พยัฆเวช)</t>
  </si>
  <si>
    <t>Product Leader - Final Finish</t>
  </si>
  <si>
    <t>Khorapin Iamsuwan</t>
  </si>
  <si>
    <t>Kamkarn Wongtanachai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</si>
  <si>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</si>
  <si>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</si>
  <si>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</si>
  <si>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</si>
  <si>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</si>
  <si>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</si>
  <si>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</si>
  <si>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</si>
  <si>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</si>
  <si>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</si>
  <si>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</si>
  <si>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</si>
  <si>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%LT</t>
  </si>
  <si>
    <t>BC Leader</t>
  </si>
  <si>
    <t>%BC Leader</t>
  </si>
  <si>
    <t>FLT</t>
  </si>
  <si>
    <t>% FLT</t>
  </si>
  <si>
    <t>ALL</t>
  </si>
  <si>
    <t>Adj</t>
  </si>
  <si>
    <t>HPT</t>
  </si>
  <si>
    <t>FL</t>
  </si>
  <si>
    <t>LSP Attedance (Saraly &amp; Hourly)</t>
  </si>
  <si>
    <t>31/8</t>
  </si>
  <si>
    <t>LSP</t>
  </si>
  <si>
    <t>BCB-Aero</t>
  </si>
  <si>
    <t>BCB-WBR</t>
  </si>
  <si>
    <t>BCB-Retread</t>
  </si>
  <si>
    <t>Quality</t>
  </si>
  <si>
    <t>HR</t>
  </si>
  <si>
    <t>FI/GPS</t>
  </si>
  <si>
    <t>No</t>
  </si>
  <si>
    <t>QR Access</t>
  </si>
  <si>
    <t>Adisak Poaseenul (อดิศักดิ์ เพาสีนวล)</t>
  </si>
  <si>
    <t>Mechanics Leader</t>
  </si>
  <si>
    <t>1110</t>
  </si>
  <si>
    <t>Adisorn Nammontri (อดิสร นามมนตรี)</t>
  </si>
  <si>
    <t>Leader (Instrument)</t>
  </si>
  <si>
    <t>Adul Sukcharoen (อดุลย์ สุขเจริญ)</t>
  </si>
  <si>
    <t>Production Team Leader</t>
  </si>
  <si>
    <t>A5120</t>
  </si>
  <si>
    <t>Akkarawin Kukongphon (อัครวินท์ กุก่องพล)</t>
  </si>
  <si>
    <t>Team Leader Retread</t>
  </si>
  <si>
    <t>Boonrue Umpimai (บุญเรือ อุ่มพิมาย)</t>
  </si>
  <si>
    <t>Chalermsak Promjuy (เฉลิมศักดิ์ พรมจุ้ย)</t>
  </si>
  <si>
    <t>Leader</t>
  </si>
  <si>
    <t>Chet Srimook (เชษ ศรีมุข)</t>
  </si>
  <si>
    <t>4300</t>
  </si>
  <si>
    <t>Decha Hemsurin (เดชา เหมสุรินทร์)</t>
  </si>
  <si>
    <t>Jakrawut Aiemlaor (จักราวุธ เอี่ยมละออ)</t>
  </si>
  <si>
    <t>Kwankeaw Suksumake (ขวัญแก้ว สุขสุเมฆ)</t>
  </si>
  <si>
    <t>Manit Prami (มานิต ประมัย)</t>
  </si>
  <si>
    <t>Group Leader</t>
  </si>
  <si>
    <t>Manus Thongkum (มนัส ทองคำ)</t>
  </si>
  <si>
    <t>Manusnan Wianglaw (มนัสนันท์ เวียงลอ)</t>
  </si>
  <si>
    <t>Mongkol Litsagul (มงคล ฤทธิ์สกุล)</t>
  </si>
  <si>
    <t>Narin Neamcham (นรินทร์ เนียมแช่ม)</t>
  </si>
  <si>
    <t>Natthapong Saramano (ณัฐพงศ์ สารมโน)</t>
  </si>
  <si>
    <t>Nikom Homkrajear (นิคม หอมกระแจะ)</t>
  </si>
  <si>
    <t>Niran Katprasith (นิรันญ์ เกตุประสิทธิ์)</t>
  </si>
  <si>
    <t>Nopporn Boonthong (นพพร บุญทอง)</t>
  </si>
  <si>
    <t>Passakorn Choypatiw (พาสกร ช่วยปทิว)</t>
  </si>
  <si>
    <t>Electrician Leader</t>
  </si>
  <si>
    <t>Peera Tongbooncheun (พีระ ทองบุญชื่น)</t>
  </si>
  <si>
    <t>Phichai Phiwkhom (ภิชัย ผิวขม)</t>
  </si>
  <si>
    <t>Pinyo Jaikeaw (ภิญโญ ใจแก้ว)</t>
  </si>
  <si>
    <t>Pisanu Kitsananon (พิษณุ กฤษณานนท์)</t>
  </si>
  <si>
    <t>Pramote Kerdto (ปราโมทย์ เกิดโต)</t>
  </si>
  <si>
    <t>Pratheep Manadee (ประทีป มานะดี)</t>
  </si>
  <si>
    <t>Preecha Charnwechasart (ปรีชา ชาญเวชศาสตร์)</t>
  </si>
  <si>
    <t>4110</t>
  </si>
  <si>
    <t>Rawat Puykunthod (เรวัตร์ ปุยขุนทด)</t>
  </si>
  <si>
    <t>Sakol Ponruksa (สกล พลรักษา)</t>
  </si>
  <si>
    <t>Sek Kongsuk (เศก คงสุข)</t>
  </si>
  <si>
    <t>Siam Innim (สยาม อินทร์นิ่ม)</t>
  </si>
  <si>
    <t>Sittichok Ruekudom (สิทธิโชค ฤกษ์อุดม)</t>
  </si>
  <si>
    <t>Sivarin Juntasit (ศิวารินทร์ จันทสิทธิ์)</t>
  </si>
  <si>
    <t>Siwa Nimmukda (ศิวะ นิ่มมุกดา)</t>
  </si>
  <si>
    <t>Somsak Chantamala (สมศักดิ์ จันทมาลา)</t>
  </si>
  <si>
    <t>Somsak Dongthongyoo (สมศักดิ์ ด้วงทองอยู่)</t>
  </si>
  <si>
    <t>Sukee Boonyeam (สุกี บุญเยี่ยม)</t>
  </si>
  <si>
    <t>Sumet Sutthiprapa (สุเมธ สุทธิประภา)</t>
  </si>
  <si>
    <t>Suntiwat Tandej (สันติวัฒน์ แทนเดช)</t>
  </si>
  <si>
    <t>Suphol Sophaboon (สุผล โสภะบุญ)</t>
  </si>
  <si>
    <t>Suthin Sanphai (สุทิน แสนภัย)</t>
  </si>
  <si>
    <t>Thani Anuntasook (ธนิ อนันทสุข)</t>
  </si>
  <si>
    <t>Thawatchai Kongmont (ธวัชชัย คงมนต์)</t>
  </si>
  <si>
    <t>Ubon Sanmo (อุบล แสนโม่)</t>
  </si>
  <si>
    <t>Vichai Jomkamsing (วิชัย จอมคำสิงห์)</t>
  </si>
  <si>
    <t>Vinai Klinsrisuk (วินัย กลิ่นศรีสุข)</t>
  </si>
  <si>
    <t>Watcharin Poosuwan (วัชรินทร์ ภู่สุวรรณ)</t>
  </si>
  <si>
    <t>Wirath Pantura (วิรัตน์ พันธุระ)</t>
  </si>
  <si>
    <t>Witsanu Majungleed (วิษณุ มาจังหรีด)</t>
  </si>
  <si>
    <t>Chariphan Phonlaaiad (ชริพันธ์ พลละเอียด)</t>
  </si>
  <si>
    <t>Niran Laedee (นิรันดร์ แลดี)</t>
  </si>
  <si>
    <t>+Jun</t>
  </si>
  <si>
    <t>% FLM Inspection</t>
  </si>
  <si>
    <t>Access</t>
  </si>
  <si>
    <t>Frontline Leader</t>
  </si>
  <si>
    <t>%BCA</t>
  </si>
  <si>
    <t>%BCB-A</t>
  </si>
  <si>
    <t>%BCB-C</t>
  </si>
  <si>
    <t>Retread</t>
  </si>
  <si>
    <t>%Retread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</si>
</sst>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b/>
      <sz val="9"/>
      <color theme="1"/>
      <name val="Aptos"/>
      <family val="2"/>
    </font>
    <font>
      <b/>
      <sz val="9"/>
      <name val="Aptos"/>
      <family val="2"/>
    </font>
    <font>
      <b/>
      <sz val="9"/>
      <color theme="1"/>
      <name val="Aptos Narrow"/>
      <family val="2"/>
      <scheme val="minor"/>
    </font>
    <font>
      <sz val="9"/>
      <color theme="1"/>
      <name val="Aptos"/>
      <family val="2"/>
    </font>
    <font>
      <sz val="9"/>
      <name val="Aptos"/>
      <family val="2"/>
    </font>
    <font>
      <sz val="9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"/>
      <family val="2"/>
    </font>
    <font>
      <sz val="9"/>
      <name val="Arial"/>
      <family val="2"/>
    </font>
    <font>
      <b/>
      <sz val="12"/>
      <color theme="1"/>
      <name val="Aptos"/>
      <family val="2"/>
    </font>
    <font>
      <b/>
      <sz val="9"/>
      <color theme="0"/>
      <name val="Aptos Narrow"/>
      <family val="2"/>
      <scheme val="minor"/>
    </font>
    <font>
      <sz val="9"/>
      <color theme="1"/>
      <name val="Aptos"/>
    </font>
    <font>
      <b/>
      <sz val="9"/>
      <color rgb="FF00B050"/>
      <name val="Aptos Narrow"/>
      <family val="2"/>
      <scheme val="minor"/>
    </font>
    <font>
      <sz val="9"/>
      <color theme="0"/>
      <name val="Aptos"/>
      <family val="2"/>
    </font>
    <font>
      <b/>
      <sz val="10"/>
      <name val="Aptos"/>
    </font>
  </fonts>
  <fills count="1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0" fillId="0" borderId="0" applyFont="0" applyFill="0" applyBorder="0" applyAlignment="0" applyProtection="0"/>
  </cellStyleXfs>
  <cellXfs count="103">
    <xf numFmtId="0" fontId="0" fillId="0" borderId="0" xfId="0"/>
    <xf numFmtId="0" fontId="4" fillId="3" borderId="0" xfId="1" applyFont="1" applyFill="1" applyAlignment="1">
      <alignment horizontal="center" vertical="top"/>
    </xf>
    <xf numFmtId="0" fontId="4" fillId="3" borderId="0" xfId="1" applyFont="1" applyFill="1" applyAlignment="1">
      <alignment horizontal="center" vertical="center"/>
    </xf>
    <xf numFmtId="0" fontId="6" fillId="0" borderId="0" xfId="0" applyFont="1"/>
    <xf numFmtId="0" fontId="5" fillId="3" borderId="0" xfId="0" applyFont="1" applyFill="1" applyAlignment="1">
      <alignment horizontal="center"/>
    </xf>
    <xf numFmtId="0" fontId="7" fillId="0" borderId="0" xfId="1" applyFont="1" applyAlignment="1">
      <alignment vertical="top"/>
    </xf>
    <xf numFmtId="0" fontId="7" fillId="0" borderId="0" xfId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4" borderId="0" xfId="0" applyFont="1" applyFill="1"/>
    <xf numFmtId="0" fontId="6" fillId="0" borderId="0" xfId="0" applyFont="1" applyAlignment="1">
      <alignment horizontal="center" vertical="center"/>
    </xf>
    <xf numFmtId="0" fontId="5" fillId="2" borderId="0" xfId="0" applyFont="1" applyFill="1"/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11" fillId="0" borderId="0" xfId="1" applyFont="1" applyAlignment="1">
      <alignment vertical="top"/>
    </xf>
    <xf numFmtId="0" fontId="11" fillId="0" borderId="0" xfId="1" applyFont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1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0" xfId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2" borderId="0" xfId="0" applyFont="1" applyFill="1" applyAlignment="1">
      <alignment textRotation="45"/>
    </xf>
    <xf numFmtId="0" fontId="5" fillId="2" borderId="0" xfId="0" applyFont="1" applyFill="1" applyAlignment="1">
      <alignment vertical="center" textRotation="45" wrapText="1"/>
    </xf>
    <xf numFmtId="0" fontId="5" fillId="2" borderId="0" xfId="0" applyFont="1" applyFill="1" applyAlignment="1">
      <alignment horizontal="center" textRotation="90"/>
    </xf>
    <xf numFmtId="0" fontId="5" fillId="2" borderId="0" xfId="0" applyFont="1" applyFill="1" applyAlignment="1">
      <alignment horizontal="center" vertical="center" textRotation="90"/>
    </xf>
    <xf numFmtId="0" fontId="5" fillId="2" borderId="0" xfId="0" applyFont="1" applyFill="1" applyAlignment="1">
      <alignment vertical="center"/>
    </xf>
    <xf numFmtId="0" fontId="5" fillId="3" borderId="0" xfId="0" applyFont="1" applyFill="1"/>
    <xf numFmtId="0" fontId="8" fillId="8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9" fontId="16" fillId="9" borderId="0" xfId="2" applyFont="1" applyFill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6" fillId="0" borderId="0" xfId="0" quotePrefix="1" applyFont="1" applyAlignment="1">
      <alignment horizontal="right"/>
    </xf>
    <xf numFmtId="0" fontId="3" fillId="0" borderId="0" xfId="0" applyFont="1" applyAlignment="1">
      <alignment horizontal="center" vertical="center"/>
    </xf>
    <xf numFmtId="9" fontId="13" fillId="5" borderId="0" xfId="2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9" fontId="8" fillId="0" borderId="2" xfId="0" applyNumberFormat="1" applyFont="1" applyBorder="1" applyAlignment="1">
      <alignment horizontal="center"/>
    </xf>
    <xf numFmtId="9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/>
    </xf>
    <xf numFmtId="0" fontId="8" fillId="14" borderId="0" xfId="0" applyFont="1" applyFill="1" applyAlignment="1">
      <alignment horizontal="center" vertical="center"/>
    </xf>
    <xf numFmtId="9" fontId="16" fillId="15" borderId="0" xfId="2" applyFont="1" applyFill="1" applyAlignment="1">
      <alignment horizontal="center"/>
    </xf>
    <xf numFmtId="9" fontId="18" fillId="15" borderId="0" xfId="2" applyFont="1" applyFill="1" applyAlignment="1">
      <alignment horizontal="center"/>
    </xf>
    <xf numFmtId="0" fontId="8" fillId="15" borderId="0" xfId="0" applyFont="1" applyFill="1" applyAlignment="1">
      <alignment horizontal="center" vertical="center"/>
    </xf>
    <xf numFmtId="1" fontId="8" fillId="0" borderId="1" xfId="0" applyNumberFormat="1" applyFont="1" applyBorder="1" applyAlignment="1">
      <alignment horizontal="center"/>
    </xf>
    <xf numFmtId="9" fontId="19" fillId="15" borderId="0" xfId="2" applyFont="1" applyFill="1" applyAlignment="1">
      <alignment horizontal="center"/>
    </xf>
    <xf numFmtId="0" fontId="17" fillId="0" borderId="1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2" fillId="1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9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9" fontId="3" fillId="4" borderId="1" xfId="2" applyFont="1" applyFill="1" applyBorder="1" applyAlignment="1">
      <alignment horizontal="center" vertical="center"/>
    </xf>
    <xf numFmtId="9" fontId="6" fillId="0" borderId="4" xfId="2" applyFont="1" applyBorder="1" applyAlignment="1">
      <alignment horizontal="center" vertical="center"/>
    </xf>
    <xf numFmtId="9" fontId="6" fillId="0" borderId="5" xfId="2" applyFont="1" applyBorder="1" applyAlignment="1">
      <alignment horizontal="center" vertical="center"/>
    </xf>
    <xf numFmtId="0" fontId="19" fillId="17" borderId="0" xfId="0" applyFont="1" applyFill="1" applyAlignment="1">
      <alignment horizontal="center"/>
    </xf>
    <xf numFmtId="0" fontId="19" fillId="17" borderId="0" xfId="0" applyFont="1" applyFill="1" applyAlignment="1">
      <alignment horizontal="center" vertical="center"/>
    </xf>
    <xf numFmtId="0" fontId="19" fillId="1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9" fontId="13" fillId="5" borderId="0" xfId="2" applyFont="1" applyFill="1" applyAlignment="1">
      <alignment horizontal="center" vertical="center"/>
    </xf>
    <xf numFmtId="9" fontId="15" fillId="6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9" fontId="9" fillId="16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9" fontId="5" fillId="4" borderId="1" xfId="0" applyNumberFormat="1" applyFont="1" applyFill="1" applyBorder="1" applyAlignment="1">
      <alignment horizontal="center" vertical="center"/>
    </xf>
    <xf numFmtId="9" fontId="13" fillId="4" borderId="4" xfId="2" applyFont="1" applyFill="1" applyBorder="1" applyAlignment="1">
      <alignment horizontal="center" vertical="center"/>
    </xf>
    <xf numFmtId="9" fontId="13" fillId="4" borderId="5" xfId="2" applyFont="1" applyFill="1" applyBorder="1" applyAlignment="1">
      <alignment horizontal="center" vertical="center"/>
    </xf>
    <xf numFmtId="9" fontId="13" fillId="4" borderId="1" xfId="2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5" fillId="4" borderId="4" xfId="0" applyNumberFormat="1" applyFont="1" applyFill="1" applyBorder="1" applyAlignment="1">
      <alignment horizontal="center" vertical="center"/>
    </xf>
    <xf numFmtId="9" fontId="5" fillId="4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11" borderId="1" xfId="0" applyFont="1" applyFill="1" applyBorder="1" applyAlignment="1">
      <alignment horizontal="center" vertical="center"/>
    </xf>
    <xf numFmtId="9" fontId="20" fillId="4" borderId="1" xfId="2" applyFont="1" applyFill="1" applyBorder="1" applyAlignment="1">
      <alignment horizontal="center" vertical="center"/>
    </xf>
    <xf numFmtId="9" fontId="13" fillId="0" borderId="1" xfId="2" applyFont="1" applyFill="1" applyBorder="1" applyAlignment="1">
      <alignment horizontal="center" vertical="center"/>
    </xf>
    <xf numFmtId="9" fontId="5" fillId="4" borderId="1" xfId="2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4BEF6D50-9C75-4230-BD09-91610576A57B}"/>
    <cellStyle name="Percent" xfId="2" builtinId="5"/>
  </cellStyles>
  <dxfs count="47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LSP Inspection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 _GOEHS-Salary-Leader'!$G$63</c:f>
              <c:strCache>
                <c:ptCount val="1"/>
                <c:pt idx="0">
                  <c:v>%LT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 _GOEHS-Salary-Leader'!$H$61:$AE$61</c:f>
              <c:strCache>
                <c:ptCount val="23"/>
                <c:pt idx="0">
                  <c:v>Jan</c:v>
                </c:pt>
                <c:pt idx="2">
                  <c:v>Feb</c:v>
                </c:pt>
                <c:pt idx="4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2">
                  <c:v>Jul</c:v>
                </c:pt>
                <c:pt idx="14">
                  <c:v>Aug</c:v>
                </c:pt>
                <c:pt idx="16">
                  <c:v>Sep</c:v>
                </c:pt>
                <c:pt idx="18">
                  <c:v>Oct</c:v>
                </c:pt>
                <c:pt idx="20">
                  <c:v>Nov</c:v>
                </c:pt>
                <c:pt idx="22">
                  <c:v>Dec</c:v>
                </c:pt>
              </c:strCache>
            </c:strRef>
          </c:cat>
          <c:val>
            <c:numRef>
              <c:f>'A _GOEHS-Salary-Leader'!$H$63:$AE$63</c:f>
              <c:numCache>
                <c:formatCode>0%</c:formatCode>
                <c:ptCount val="24"/>
                <c:pt idx="0">
                  <c:v>0.69444444444444442</c:v>
                </c:pt>
                <c:pt idx="2">
                  <c:v>0.86111111111111116</c:v>
                </c:pt>
                <c:pt idx="4">
                  <c:v>0.77777777777777779</c:v>
                </c:pt>
                <c:pt idx="6">
                  <c:v>0.90625</c:v>
                </c:pt>
                <c:pt idx="8">
                  <c:v>0.9375</c:v>
                </c:pt>
                <c:pt idx="10">
                  <c:v>1.2777777777777777</c:v>
                </c:pt>
                <c:pt idx="12">
                  <c:v>0.90625</c:v>
                </c:pt>
                <c:pt idx="14">
                  <c:v>1.2857142857142858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5-4390-91C7-058FA15CDF4C}"/>
            </c:ext>
          </c:extLst>
        </c:ser>
        <c:ser>
          <c:idx val="2"/>
          <c:order val="2"/>
          <c:tx>
            <c:strRef>
              <c:f>'A _GOEHS-Salary-Leader'!$G$65</c:f>
              <c:strCache>
                <c:ptCount val="1"/>
                <c:pt idx="0">
                  <c:v>%BC Leader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 _GOEHS-Salary-Leader'!$H$61:$AE$61</c:f>
              <c:strCache>
                <c:ptCount val="23"/>
                <c:pt idx="0">
                  <c:v>Jan</c:v>
                </c:pt>
                <c:pt idx="2">
                  <c:v>Feb</c:v>
                </c:pt>
                <c:pt idx="4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2">
                  <c:v>Jul</c:v>
                </c:pt>
                <c:pt idx="14">
                  <c:v>Aug</c:v>
                </c:pt>
                <c:pt idx="16">
                  <c:v>Sep</c:v>
                </c:pt>
                <c:pt idx="18">
                  <c:v>Oct</c:v>
                </c:pt>
                <c:pt idx="20">
                  <c:v>Nov</c:v>
                </c:pt>
                <c:pt idx="22">
                  <c:v>Dec</c:v>
                </c:pt>
              </c:strCache>
            </c:strRef>
          </c:cat>
          <c:val>
            <c:numRef>
              <c:f>'A _GOEHS-Salary-Leader'!$H$65:$AE$65</c:f>
              <c:numCache>
                <c:formatCode>0%</c:formatCode>
                <c:ptCount val="24"/>
                <c:pt idx="0">
                  <c:v>0.39374999999999999</c:v>
                </c:pt>
                <c:pt idx="2">
                  <c:v>0.79374999999999996</c:v>
                </c:pt>
                <c:pt idx="4">
                  <c:v>0.86250000000000004</c:v>
                </c:pt>
                <c:pt idx="6">
                  <c:v>0.94230769230769229</c:v>
                </c:pt>
                <c:pt idx="8">
                  <c:v>0.72435897435897434</c:v>
                </c:pt>
                <c:pt idx="10">
                  <c:v>0.89743589743589747</c:v>
                </c:pt>
                <c:pt idx="12">
                  <c:v>0.78125</c:v>
                </c:pt>
                <c:pt idx="14">
                  <c:v>0.94374999999999998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15-4390-91C7-058FA15CDF4C}"/>
            </c:ext>
          </c:extLst>
        </c:ser>
        <c:ser>
          <c:idx val="3"/>
          <c:order val="3"/>
          <c:tx>
            <c:strRef>
              <c:f>'A _GOEHS-Salary-Leader'!$G$67</c:f>
              <c:strCache>
                <c:ptCount val="1"/>
                <c:pt idx="0">
                  <c:v>% FLT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 _GOEHS-Salary-Leader'!$H$61:$AE$61</c:f>
              <c:strCache>
                <c:ptCount val="23"/>
                <c:pt idx="0">
                  <c:v>Jan</c:v>
                </c:pt>
                <c:pt idx="2">
                  <c:v>Feb</c:v>
                </c:pt>
                <c:pt idx="4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2">
                  <c:v>Jul</c:v>
                </c:pt>
                <c:pt idx="14">
                  <c:v>Aug</c:v>
                </c:pt>
                <c:pt idx="16">
                  <c:v>Sep</c:v>
                </c:pt>
                <c:pt idx="18">
                  <c:v>Oct</c:v>
                </c:pt>
                <c:pt idx="20">
                  <c:v>Nov</c:v>
                </c:pt>
                <c:pt idx="22">
                  <c:v>Dec</c:v>
                </c:pt>
              </c:strCache>
            </c:strRef>
          </c:cat>
          <c:val>
            <c:numRef>
              <c:f>'A _GOEHS-Salary-Leader'!$H$67:$AE$67</c:f>
              <c:numCache>
                <c:formatCode>0%</c:formatCode>
                <c:ptCount val="24"/>
                <c:pt idx="0">
                  <c:v>1.5</c:v>
                </c:pt>
                <c:pt idx="2">
                  <c:v>1.4375</c:v>
                </c:pt>
                <c:pt idx="4">
                  <c:v>1.25</c:v>
                </c:pt>
                <c:pt idx="6">
                  <c:v>0.36956521739130432</c:v>
                </c:pt>
                <c:pt idx="8">
                  <c:v>0.95945945945945943</c:v>
                </c:pt>
                <c:pt idx="10">
                  <c:v>0.9553571428571429</c:v>
                </c:pt>
                <c:pt idx="12">
                  <c:v>0.9017857142857143</c:v>
                </c:pt>
                <c:pt idx="14">
                  <c:v>0.68382352941176472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15-4390-91C7-058FA15CD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6937455"/>
        <c:axId val="11693121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'A _GOEHS-Salary-Leader'!$G$64</c15:sqref>
                        </c15:formulaRef>
                      </c:ext>
                    </c:extLst>
                    <c:strCache>
                      <c:ptCount val="1"/>
                      <c:pt idx="0">
                        <c:v>BC Leader</c:v>
                      </c:pt>
                    </c:strCache>
                  </c:strRef>
                </c:tx>
                <c:spPr>
                  <a:gradFill flip="none" rotWithShape="1">
                    <a:gsLst>
                      <a:gs pos="0">
                        <a:schemeClr val="accent2"/>
                      </a:gs>
                      <a:gs pos="75000">
                        <a:schemeClr val="accent2">
                          <a:lumMod val="60000"/>
                          <a:lumOff val="40000"/>
                        </a:schemeClr>
                      </a:gs>
                      <a:gs pos="51000">
                        <a:schemeClr val="accent2">
                          <a:alpha val="75000"/>
                        </a:schemeClr>
                      </a:gs>
                      <a:gs pos="100000">
                        <a:schemeClr val="accent2">
                          <a:lumMod val="20000"/>
                          <a:lumOff val="80000"/>
                          <a:alpha val="15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 _GOEHS-Salary-Leader'!$H$61:$AE$61</c15:sqref>
                        </c15:formulaRef>
                      </c:ext>
                    </c:extLst>
                    <c:strCache>
                      <c:ptCount val="23"/>
                      <c:pt idx="0">
                        <c:v>Jan</c:v>
                      </c:pt>
                      <c:pt idx="2">
                        <c:v>Feb</c:v>
                      </c:pt>
                      <c:pt idx="4">
                        <c:v>Mar</c:v>
                      </c:pt>
                      <c:pt idx="6">
                        <c:v>Apr</c:v>
                      </c:pt>
                      <c:pt idx="8">
                        <c:v>May</c:v>
                      </c:pt>
                      <c:pt idx="10">
                        <c:v>Jun</c:v>
                      </c:pt>
                      <c:pt idx="12">
                        <c:v>Jul</c:v>
                      </c:pt>
                      <c:pt idx="14">
                        <c:v>Aug</c:v>
                      </c:pt>
                      <c:pt idx="16">
                        <c:v>Sep</c:v>
                      </c:pt>
                      <c:pt idx="18">
                        <c:v>Oct</c:v>
                      </c:pt>
                      <c:pt idx="20">
                        <c:v>Nov</c:v>
                      </c:pt>
                      <c:pt idx="2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 _GOEHS-Salary-Leader'!$H$64:$AE$64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160</c:v>
                      </c:pt>
                      <c:pt idx="1">
                        <c:v>63</c:v>
                      </c:pt>
                      <c:pt idx="2">
                        <c:v>160</c:v>
                      </c:pt>
                      <c:pt idx="3">
                        <c:v>127</c:v>
                      </c:pt>
                      <c:pt idx="4">
                        <c:v>160</c:v>
                      </c:pt>
                      <c:pt idx="5">
                        <c:v>138</c:v>
                      </c:pt>
                      <c:pt idx="6">
                        <c:v>156</c:v>
                      </c:pt>
                      <c:pt idx="7">
                        <c:v>147</c:v>
                      </c:pt>
                      <c:pt idx="8">
                        <c:v>156</c:v>
                      </c:pt>
                      <c:pt idx="9">
                        <c:v>113</c:v>
                      </c:pt>
                      <c:pt idx="10">
                        <c:v>156</c:v>
                      </c:pt>
                      <c:pt idx="11">
                        <c:v>140</c:v>
                      </c:pt>
                      <c:pt idx="12">
                        <c:v>160</c:v>
                      </c:pt>
                      <c:pt idx="13">
                        <c:v>125</c:v>
                      </c:pt>
                      <c:pt idx="14">
                        <c:v>160</c:v>
                      </c:pt>
                      <c:pt idx="15">
                        <c:v>151</c:v>
                      </c:pt>
                      <c:pt idx="17">
                        <c:v>30</c:v>
                      </c:pt>
                      <c:pt idx="19">
                        <c:v>0</c:v>
                      </c:pt>
                      <c:pt idx="21">
                        <c:v>0</c:v>
                      </c:pt>
                      <c:pt idx="2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615-4390-91C7-058FA15CDF4C}"/>
                  </c:ext>
                </c:extLst>
              </c15:ser>
            </c15:filteredBarSeries>
          </c:ext>
        </c:extLst>
      </c:barChart>
      <c:catAx>
        <c:axId val="11693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1215"/>
        <c:crosses val="autoZero"/>
        <c:auto val="1"/>
        <c:lblAlgn val="ctr"/>
        <c:lblOffset val="100"/>
        <c:noMultiLvlLbl val="0"/>
      </c:catAx>
      <c:valAx>
        <c:axId val="116931215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'A _GOEHS-Salary-Leader'!$G$63</c:f>
              <c:strCache>
                <c:ptCount val="1"/>
                <c:pt idx="0">
                  <c:v>%LT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 _GOEHS-Salary-Leader'!$H$61:$AG$61</c:f>
              <c:strCache>
                <c:ptCount val="25"/>
                <c:pt idx="0">
                  <c:v>Jan</c:v>
                </c:pt>
                <c:pt idx="2">
                  <c:v>Feb</c:v>
                </c:pt>
                <c:pt idx="4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2">
                  <c:v>Jul</c:v>
                </c:pt>
                <c:pt idx="14">
                  <c:v>Aug</c:v>
                </c:pt>
                <c:pt idx="16">
                  <c:v>Sep</c:v>
                </c:pt>
                <c:pt idx="18">
                  <c:v>Oct</c:v>
                </c:pt>
                <c:pt idx="20">
                  <c:v>Nov</c:v>
                </c:pt>
                <c:pt idx="22">
                  <c:v>Dec</c:v>
                </c:pt>
                <c:pt idx="24">
                  <c:v>YTD</c:v>
                </c:pt>
              </c:strCache>
            </c:strRef>
          </c:cat>
          <c:val>
            <c:numRef>
              <c:f>'A _GOEHS-Salary-Leader'!$H$63:$AG$63</c:f>
              <c:numCache>
                <c:formatCode>0%</c:formatCode>
                <c:ptCount val="26"/>
                <c:pt idx="0">
                  <c:v>0.69444444444444442</c:v>
                </c:pt>
                <c:pt idx="2">
                  <c:v>0.86111111111111116</c:v>
                </c:pt>
                <c:pt idx="4">
                  <c:v>0.77777777777777779</c:v>
                </c:pt>
                <c:pt idx="6">
                  <c:v>0.90625</c:v>
                </c:pt>
                <c:pt idx="8">
                  <c:v>0.9375</c:v>
                </c:pt>
                <c:pt idx="10">
                  <c:v>1.2777777777777777</c:v>
                </c:pt>
                <c:pt idx="12">
                  <c:v>0.90625</c:v>
                </c:pt>
                <c:pt idx="14">
                  <c:v>1.2857142857142858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1.0485074626865671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91-4668-A077-A35BA26599F9}"/>
            </c:ext>
          </c:extLst>
        </c:ser>
        <c:ser>
          <c:idx val="3"/>
          <c:order val="3"/>
          <c:tx>
            <c:strRef>
              <c:f>'A _GOEHS-Salary-Leader'!$G$65</c:f>
              <c:strCache>
                <c:ptCount val="1"/>
                <c:pt idx="0">
                  <c:v>%BC Leader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 _GOEHS-Salary-Leader'!$H$61:$AG$61</c:f>
              <c:strCache>
                <c:ptCount val="25"/>
                <c:pt idx="0">
                  <c:v>Jan</c:v>
                </c:pt>
                <c:pt idx="2">
                  <c:v>Feb</c:v>
                </c:pt>
                <c:pt idx="4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2">
                  <c:v>Jul</c:v>
                </c:pt>
                <c:pt idx="14">
                  <c:v>Aug</c:v>
                </c:pt>
                <c:pt idx="16">
                  <c:v>Sep</c:v>
                </c:pt>
                <c:pt idx="18">
                  <c:v>Oct</c:v>
                </c:pt>
                <c:pt idx="20">
                  <c:v>Nov</c:v>
                </c:pt>
                <c:pt idx="22">
                  <c:v>Dec</c:v>
                </c:pt>
                <c:pt idx="24">
                  <c:v>YTD</c:v>
                </c:pt>
              </c:strCache>
            </c:strRef>
          </c:cat>
          <c:val>
            <c:numRef>
              <c:f>'A _GOEHS-Salary-Leader'!$H$65:$AG$65</c:f>
              <c:numCache>
                <c:formatCode>0%</c:formatCode>
                <c:ptCount val="26"/>
                <c:pt idx="0">
                  <c:v>0.39374999999999999</c:v>
                </c:pt>
                <c:pt idx="2">
                  <c:v>0.79374999999999996</c:v>
                </c:pt>
                <c:pt idx="4">
                  <c:v>0.86250000000000004</c:v>
                </c:pt>
                <c:pt idx="6">
                  <c:v>0.94230769230769229</c:v>
                </c:pt>
                <c:pt idx="8">
                  <c:v>0.72435897435897434</c:v>
                </c:pt>
                <c:pt idx="10">
                  <c:v>0.89743589743589747</c:v>
                </c:pt>
                <c:pt idx="12">
                  <c:v>0.78125</c:v>
                </c:pt>
                <c:pt idx="14">
                  <c:v>0.94374999999999998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0.81545741324921139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91-4668-A077-A35BA26599F9}"/>
            </c:ext>
          </c:extLst>
        </c:ser>
        <c:ser>
          <c:idx val="5"/>
          <c:order val="5"/>
          <c:tx>
            <c:strRef>
              <c:f>'A _GOEHS-Salary-Leader'!$G$67</c:f>
              <c:strCache>
                <c:ptCount val="1"/>
                <c:pt idx="0">
                  <c:v>% FLT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 _GOEHS-Salary-Leader'!$H$61:$AG$61</c:f>
              <c:strCache>
                <c:ptCount val="25"/>
                <c:pt idx="0">
                  <c:v>Jan</c:v>
                </c:pt>
                <c:pt idx="2">
                  <c:v>Feb</c:v>
                </c:pt>
                <c:pt idx="4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2">
                  <c:v>Jul</c:v>
                </c:pt>
                <c:pt idx="14">
                  <c:v>Aug</c:v>
                </c:pt>
                <c:pt idx="16">
                  <c:v>Sep</c:v>
                </c:pt>
                <c:pt idx="18">
                  <c:v>Oct</c:v>
                </c:pt>
                <c:pt idx="20">
                  <c:v>Nov</c:v>
                </c:pt>
                <c:pt idx="22">
                  <c:v>Dec</c:v>
                </c:pt>
                <c:pt idx="24">
                  <c:v>YTD</c:v>
                </c:pt>
              </c:strCache>
            </c:strRef>
          </c:cat>
          <c:val>
            <c:numRef>
              <c:f>'A _GOEHS-Salary-Leader'!$H$67:$AG$67</c:f>
              <c:numCache>
                <c:formatCode>0%</c:formatCode>
                <c:ptCount val="26"/>
                <c:pt idx="0">
                  <c:v>1.5</c:v>
                </c:pt>
                <c:pt idx="2">
                  <c:v>1.4375</c:v>
                </c:pt>
                <c:pt idx="4">
                  <c:v>1.25</c:v>
                </c:pt>
                <c:pt idx="6">
                  <c:v>0.36956521739130432</c:v>
                </c:pt>
                <c:pt idx="8">
                  <c:v>0.95945945945945943</c:v>
                </c:pt>
                <c:pt idx="10">
                  <c:v>0.9553571428571429</c:v>
                </c:pt>
                <c:pt idx="12">
                  <c:v>0.9017857142857143</c:v>
                </c:pt>
                <c:pt idx="14">
                  <c:v>0.68382352941176472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0.8675373134328358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91-4668-A077-A35BA26599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75838032"/>
        <c:axId val="12758433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 _GOEHS-Salary-Leader'!$G$62</c15:sqref>
                        </c15:formulaRef>
                      </c:ext>
                    </c:extLst>
                    <c:strCache>
                      <c:ptCount val="1"/>
                      <c:pt idx="0">
                        <c:v>LT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'A _GOEHS-Salary-Leader'!$H$61:$AG$61</c15:sqref>
                        </c15:formulaRef>
                      </c:ext>
                    </c:extLst>
                    <c:strCache>
                      <c:ptCount val="25"/>
                      <c:pt idx="0">
                        <c:v>Jan</c:v>
                      </c:pt>
                      <c:pt idx="2">
                        <c:v>Feb</c:v>
                      </c:pt>
                      <c:pt idx="4">
                        <c:v>Mar</c:v>
                      </c:pt>
                      <c:pt idx="6">
                        <c:v>Apr</c:v>
                      </c:pt>
                      <c:pt idx="8">
                        <c:v>May</c:v>
                      </c:pt>
                      <c:pt idx="10">
                        <c:v>Jun</c:v>
                      </c:pt>
                      <c:pt idx="12">
                        <c:v>Jul</c:v>
                      </c:pt>
                      <c:pt idx="14">
                        <c:v>Aug</c:v>
                      </c:pt>
                      <c:pt idx="16">
                        <c:v>Sep</c:v>
                      </c:pt>
                      <c:pt idx="18">
                        <c:v>Oct</c:v>
                      </c:pt>
                      <c:pt idx="20">
                        <c:v>Nov</c:v>
                      </c:pt>
                      <c:pt idx="22">
                        <c:v>Dec</c:v>
                      </c:pt>
                      <c:pt idx="24">
                        <c:v>YTD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 _GOEHS-Salary-Leader'!$H$62:$AG$62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36</c:v>
                      </c:pt>
                      <c:pt idx="1">
                        <c:v>25</c:v>
                      </c:pt>
                      <c:pt idx="2">
                        <c:v>36</c:v>
                      </c:pt>
                      <c:pt idx="3">
                        <c:v>31</c:v>
                      </c:pt>
                      <c:pt idx="4">
                        <c:v>36</c:v>
                      </c:pt>
                      <c:pt idx="5">
                        <c:v>28</c:v>
                      </c:pt>
                      <c:pt idx="6">
                        <c:v>32</c:v>
                      </c:pt>
                      <c:pt idx="7">
                        <c:v>29</c:v>
                      </c:pt>
                      <c:pt idx="8">
                        <c:v>32</c:v>
                      </c:pt>
                      <c:pt idx="9">
                        <c:v>30</c:v>
                      </c:pt>
                      <c:pt idx="10">
                        <c:v>36</c:v>
                      </c:pt>
                      <c:pt idx="11">
                        <c:v>46</c:v>
                      </c:pt>
                      <c:pt idx="12">
                        <c:v>32</c:v>
                      </c:pt>
                      <c:pt idx="13">
                        <c:v>29</c:v>
                      </c:pt>
                      <c:pt idx="14">
                        <c:v>28</c:v>
                      </c:pt>
                      <c:pt idx="15">
                        <c:v>36</c:v>
                      </c:pt>
                      <c:pt idx="17">
                        <c:v>27</c:v>
                      </c:pt>
                      <c:pt idx="19">
                        <c:v>0</c:v>
                      </c:pt>
                      <c:pt idx="21">
                        <c:v>0</c:v>
                      </c:pt>
                      <c:pt idx="23">
                        <c:v>0</c:v>
                      </c:pt>
                      <c:pt idx="24">
                        <c:v>268</c:v>
                      </c:pt>
                      <c:pt idx="25">
                        <c:v>281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291-4668-A077-A35BA26599F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 _GOEHS-Salary-Leader'!$G$64</c15:sqref>
                        </c15:formulaRef>
                      </c:ext>
                    </c:extLst>
                    <c:strCache>
                      <c:ptCount val="1"/>
                      <c:pt idx="0">
                        <c:v>BC Leader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 _GOEHS-Salary-Leader'!$H$61:$AG$61</c15:sqref>
                        </c15:formulaRef>
                      </c:ext>
                    </c:extLst>
                    <c:strCache>
                      <c:ptCount val="25"/>
                      <c:pt idx="0">
                        <c:v>Jan</c:v>
                      </c:pt>
                      <c:pt idx="2">
                        <c:v>Feb</c:v>
                      </c:pt>
                      <c:pt idx="4">
                        <c:v>Mar</c:v>
                      </c:pt>
                      <c:pt idx="6">
                        <c:v>Apr</c:v>
                      </c:pt>
                      <c:pt idx="8">
                        <c:v>May</c:v>
                      </c:pt>
                      <c:pt idx="10">
                        <c:v>Jun</c:v>
                      </c:pt>
                      <c:pt idx="12">
                        <c:v>Jul</c:v>
                      </c:pt>
                      <c:pt idx="14">
                        <c:v>Aug</c:v>
                      </c:pt>
                      <c:pt idx="16">
                        <c:v>Sep</c:v>
                      </c:pt>
                      <c:pt idx="18">
                        <c:v>Oct</c:v>
                      </c:pt>
                      <c:pt idx="20">
                        <c:v>Nov</c:v>
                      </c:pt>
                      <c:pt idx="22">
                        <c:v>Dec</c:v>
                      </c:pt>
                      <c:pt idx="24">
                        <c:v>YTD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 _GOEHS-Salary-Leader'!$H$64:$AG$64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160</c:v>
                      </c:pt>
                      <c:pt idx="1">
                        <c:v>63</c:v>
                      </c:pt>
                      <c:pt idx="2">
                        <c:v>160</c:v>
                      </c:pt>
                      <c:pt idx="3">
                        <c:v>127</c:v>
                      </c:pt>
                      <c:pt idx="4">
                        <c:v>160</c:v>
                      </c:pt>
                      <c:pt idx="5">
                        <c:v>138</c:v>
                      </c:pt>
                      <c:pt idx="6">
                        <c:v>156</c:v>
                      </c:pt>
                      <c:pt idx="7">
                        <c:v>147</c:v>
                      </c:pt>
                      <c:pt idx="8">
                        <c:v>156</c:v>
                      </c:pt>
                      <c:pt idx="9">
                        <c:v>113</c:v>
                      </c:pt>
                      <c:pt idx="10">
                        <c:v>156</c:v>
                      </c:pt>
                      <c:pt idx="11">
                        <c:v>140</c:v>
                      </c:pt>
                      <c:pt idx="12">
                        <c:v>160</c:v>
                      </c:pt>
                      <c:pt idx="13">
                        <c:v>125</c:v>
                      </c:pt>
                      <c:pt idx="14">
                        <c:v>160</c:v>
                      </c:pt>
                      <c:pt idx="15">
                        <c:v>151</c:v>
                      </c:pt>
                      <c:pt idx="17">
                        <c:v>30</c:v>
                      </c:pt>
                      <c:pt idx="19">
                        <c:v>0</c:v>
                      </c:pt>
                      <c:pt idx="21">
                        <c:v>0</c:v>
                      </c:pt>
                      <c:pt idx="23">
                        <c:v>0</c:v>
                      </c:pt>
                      <c:pt idx="24">
                        <c:v>1268</c:v>
                      </c:pt>
                      <c:pt idx="25">
                        <c:v>1034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91-4668-A077-A35BA26599F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 _GOEHS-Salary-Leader'!$G$66</c15:sqref>
                        </c15:formulaRef>
                      </c:ext>
                    </c:extLst>
                    <c:strCache>
                      <c:ptCount val="1"/>
                      <c:pt idx="0">
                        <c:v>FLT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 _GOEHS-Salary-Leader'!$H$61:$AG$61</c15:sqref>
                        </c15:formulaRef>
                      </c:ext>
                    </c:extLst>
                    <c:strCache>
                      <c:ptCount val="25"/>
                      <c:pt idx="0">
                        <c:v>Jan</c:v>
                      </c:pt>
                      <c:pt idx="2">
                        <c:v>Feb</c:v>
                      </c:pt>
                      <c:pt idx="4">
                        <c:v>Mar</c:v>
                      </c:pt>
                      <c:pt idx="6">
                        <c:v>Apr</c:v>
                      </c:pt>
                      <c:pt idx="8">
                        <c:v>May</c:v>
                      </c:pt>
                      <c:pt idx="10">
                        <c:v>Jun</c:v>
                      </c:pt>
                      <c:pt idx="12">
                        <c:v>Jul</c:v>
                      </c:pt>
                      <c:pt idx="14">
                        <c:v>Aug</c:v>
                      </c:pt>
                      <c:pt idx="16">
                        <c:v>Sep</c:v>
                      </c:pt>
                      <c:pt idx="18">
                        <c:v>Oct</c:v>
                      </c:pt>
                      <c:pt idx="20">
                        <c:v>Nov</c:v>
                      </c:pt>
                      <c:pt idx="22">
                        <c:v>Dec</c:v>
                      </c:pt>
                      <c:pt idx="24">
                        <c:v>YTD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 _GOEHS-Salary-Leader'!$H$66:$AG$66</c15:sqref>
                        </c15:formulaRef>
                      </c:ext>
                    </c:extLst>
                    <c:numCache>
                      <c:formatCode>0</c:formatCode>
                      <c:ptCount val="26"/>
                      <c:pt idx="0">
                        <c:v>12</c:v>
                      </c:pt>
                      <c:pt idx="1">
                        <c:v>18</c:v>
                      </c:pt>
                      <c:pt idx="2">
                        <c:v>16</c:v>
                      </c:pt>
                      <c:pt idx="3">
                        <c:v>23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46</c:v>
                      </c:pt>
                      <c:pt idx="7">
                        <c:v>17</c:v>
                      </c:pt>
                      <c:pt idx="8">
                        <c:v>74</c:v>
                      </c:pt>
                      <c:pt idx="9">
                        <c:v>71</c:v>
                      </c:pt>
                      <c:pt idx="10">
                        <c:v>112</c:v>
                      </c:pt>
                      <c:pt idx="11">
                        <c:v>107</c:v>
                      </c:pt>
                      <c:pt idx="12">
                        <c:v>112</c:v>
                      </c:pt>
                      <c:pt idx="13">
                        <c:v>101</c:v>
                      </c:pt>
                      <c:pt idx="14">
                        <c:v>136</c:v>
                      </c:pt>
                      <c:pt idx="15">
                        <c:v>93</c:v>
                      </c:pt>
                      <c:pt idx="24">
                        <c:v>536</c:v>
                      </c:pt>
                      <c:pt idx="25">
                        <c:v>465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91-4668-A077-A35BA26599F9}"/>
                  </c:ext>
                </c:extLst>
              </c15:ser>
            </c15:filteredBarSeries>
          </c:ext>
        </c:extLst>
      </c:barChart>
      <c:catAx>
        <c:axId val="127583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843312"/>
        <c:crosses val="autoZero"/>
        <c:auto val="1"/>
        <c:lblAlgn val="ctr"/>
        <c:lblOffset val="100"/>
        <c:noMultiLvlLbl val="0"/>
      </c:catAx>
      <c:valAx>
        <c:axId val="127584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83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LSP Performance</a:t>
            </a:r>
          </a:p>
        </c:rich>
      </c:tx>
      <c:layout>
        <c:manualLayout>
          <c:xMode val="edge"/>
          <c:yMode val="edge"/>
          <c:x val="0.42560589627223799"/>
          <c:y val="2.9513862397935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 _GOEHS-Salary-Leader'!$F$99</c:f>
              <c:strCache>
                <c:ptCount val="1"/>
                <c:pt idx="0">
                  <c:v>BCA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 _GOEHS-Salary-Leader'!$G$98:$S$98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'A _GOEHS-Salary-Leader'!$G$99:$S$99</c:f>
              <c:numCache>
                <c:formatCode>0%</c:formatCode>
                <c:ptCount val="13"/>
                <c:pt idx="0">
                  <c:v>0.3125</c:v>
                </c:pt>
                <c:pt idx="1">
                  <c:v>0.625</c:v>
                </c:pt>
                <c:pt idx="2">
                  <c:v>0.796875</c:v>
                </c:pt>
                <c:pt idx="3">
                  <c:v>0.59375</c:v>
                </c:pt>
                <c:pt idx="4">
                  <c:v>1.234375</c:v>
                </c:pt>
                <c:pt idx="5">
                  <c:v>1.25</c:v>
                </c:pt>
                <c:pt idx="6">
                  <c:v>1.203125</c:v>
                </c:pt>
                <c:pt idx="7">
                  <c:v>1.265625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>
                  <c:v>0.91015625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E3-4302-9626-898009ACE4B0}"/>
            </c:ext>
          </c:extLst>
        </c:ser>
        <c:ser>
          <c:idx val="1"/>
          <c:order val="1"/>
          <c:tx>
            <c:strRef>
              <c:f>'A _GOEHS-Salary-Leader'!$F$100</c:f>
              <c:strCache>
                <c:ptCount val="1"/>
                <c:pt idx="0">
                  <c:v>BCB-Aero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 _GOEHS-Salary-Leader'!$G$98:$S$98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'A _GOEHS-Salary-Leader'!$G$100:$S$100</c:f>
              <c:numCache>
                <c:formatCode>0%</c:formatCode>
                <c:ptCount val="13"/>
                <c:pt idx="0">
                  <c:v>0</c:v>
                </c:pt>
                <c:pt idx="1">
                  <c:v>0.61764705882352944</c:v>
                </c:pt>
                <c:pt idx="2">
                  <c:v>0.72058823529411764</c:v>
                </c:pt>
                <c:pt idx="3">
                  <c:v>0.80882352941176472</c:v>
                </c:pt>
                <c:pt idx="4">
                  <c:v>0.52</c:v>
                </c:pt>
                <c:pt idx="5">
                  <c:v>0.44230769230769229</c:v>
                </c:pt>
                <c:pt idx="6">
                  <c:v>0.25</c:v>
                </c:pt>
                <c:pt idx="7">
                  <c:v>0.31818181818181818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>
                  <c:v>0.45969354175236532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E3-4302-9626-898009ACE4B0}"/>
            </c:ext>
          </c:extLst>
        </c:ser>
        <c:ser>
          <c:idx val="2"/>
          <c:order val="2"/>
          <c:tx>
            <c:strRef>
              <c:f>'A _GOEHS-Salary-Leader'!$F$101</c:f>
              <c:strCache>
                <c:ptCount val="1"/>
                <c:pt idx="0">
                  <c:v>BCB-WBR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 _GOEHS-Salary-Leader'!$G$98:$S$98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'A _GOEHS-Salary-Leader'!$G$101:$S$101</c:f>
              <c:numCache>
                <c:formatCode>0%</c:formatCode>
                <c:ptCount val="13"/>
                <c:pt idx="0">
                  <c:v>0</c:v>
                </c:pt>
                <c:pt idx="1">
                  <c:v>0.13461538461538461</c:v>
                </c:pt>
                <c:pt idx="2">
                  <c:v>7.6923076923076927E-2</c:v>
                </c:pt>
                <c:pt idx="3">
                  <c:v>0.15384615384615385</c:v>
                </c:pt>
                <c:pt idx="4">
                  <c:v>0.15384615384615385</c:v>
                </c:pt>
                <c:pt idx="5">
                  <c:v>0.86538461538461542</c:v>
                </c:pt>
                <c:pt idx="6">
                  <c:v>0.75</c:v>
                </c:pt>
                <c:pt idx="7">
                  <c:v>0.51923076923076927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>
                  <c:v>0.33173076923076922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E3-4302-9626-898009ACE4B0}"/>
            </c:ext>
          </c:extLst>
        </c:ser>
        <c:ser>
          <c:idx val="3"/>
          <c:order val="3"/>
          <c:tx>
            <c:strRef>
              <c:f>'A _GOEHS-Salary-Leader'!$F$102</c:f>
              <c:strCache>
                <c:ptCount val="1"/>
                <c:pt idx="0">
                  <c:v>BCB-Retread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 _GOEHS-Salary-Leader'!$G$98:$S$98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'A _GOEHS-Salary-Leader'!$G$102:$S$102</c:f>
              <c:numCache>
                <c:formatCode>0%</c:formatCode>
                <c:ptCount val="13"/>
                <c:pt idx="0">
                  <c:v>0</c:v>
                </c:pt>
                <c:pt idx="1">
                  <c:v>0.17857142857142858</c:v>
                </c:pt>
                <c:pt idx="2">
                  <c:v>0.17857142857142858</c:v>
                </c:pt>
                <c:pt idx="3">
                  <c:v>0.17857142857142858</c:v>
                </c:pt>
                <c:pt idx="4">
                  <c:v>0.32142857142857145</c:v>
                </c:pt>
                <c:pt idx="5">
                  <c:v>0.21428571428571427</c:v>
                </c:pt>
                <c:pt idx="6">
                  <c:v>0.35714285714285715</c:v>
                </c:pt>
                <c:pt idx="7">
                  <c:v>0.4642857142857143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>
                  <c:v>0.23660714285714285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0E3-4302-9626-898009ACE4B0}"/>
            </c:ext>
          </c:extLst>
        </c:ser>
        <c:ser>
          <c:idx val="4"/>
          <c:order val="4"/>
          <c:tx>
            <c:strRef>
              <c:f>'A _GOEHS-Salary-Leader'!$F$103</c:f>
              <c:strCache>
                <c:ptCount val="1"/>
                <c:pt idx="0">
                  <c:v>LT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 _GOEHS-Salary-Leader'!$G$98:$S$98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'A _GOEHS-Salary-Leader'!$G$103:$S$103</c:f>
              <c:numCache>
                <c:formatCode>0%</c:formatCode>
                <c:ptCount val="13"/>
                <c:pt idx="0">
                  <c:v>0.69444444444444442</c:v>
                </c:pt>
                <c:pt idx="1">
                  <c:v>0.86111111111111116</c:v>
                </c:pt>
                <c:pt idx="2">
                  <c:v>0.77777777777777779</c:v>
                </c:pt>
                <c:pt idx="3">
                  <c:v>0.80555555555555558</c:v>
                </c:pt>
                <c:pt idx="4">
                  <c:v>0.9375</c:v>
                </c:pt>
                <c:pt idx="5">
                  <c:v>1.2777777777777777</c:v>
                </c:pt>
                <c:pt idx="6">
                  <c:v>0.90625</c:v>
                </c:pt>
                <c:pt idx="7">
                  <c:v>1.2857142857142858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>
                  <c:v>0.94326636904761907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0E3-4302-9626-898009ACE4B0}"/>
            </c:ext>
          </c:extLst>
        </c:ser>
        <c:ser>
          <c:idx val="5"/>
          <c:order val="5"/>
          <c:tx>
            <c:strRef>
              <c:f>'A _GOEHS-Salary-Leader'!$F$104</c:f>
              <c:strCache>
                <c:ptCount val="1"/>
                <c:pt idx="0">
                  <c:v>Quality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 _GOEHS-Salary-Leader'!$G$98:$S$98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'A _GOEHS-Salary-Leader'!$G$104:$S$104</c:f>
              <c:numCache>
                <c:formatCode>0%</c:formatCode>
                <c:ptCount val="13"/>
                <c:pt idx="0">
                  <c:v>0.40384615384615385</c:v>
                </c:pt>
                <c:pt idx="1">
                  <c:v>0.75</c:v>
                </c:pt>
                <c:pt idx="2">
                  <c:v>0.78846153846153844</c:v>
                </c:pt>
                <c:pt idx="3">
                  <c:v>0.97916666666666663</c:v>
                </c:pt>
                <c:pt idx="4">
                  <c:v>0.5625</c:v>
                </c:pt>
                <c:pt idx="5">
                  <c:v>0.89583333333333337</c:v>
                </c:pt>
                <c:pt idx="6">
                  <c:v>0.69230769230769229</c:v>
                </c:pt>
                <c:pt idx="7">
                  <c:v>1.0192307692307692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>
                  <c:v>0.76141826923076916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0E3-4302-9626-898009ACE4B0}"/>
            </c:ext>
          </c:extLst>
        </c:ser>
        <c:ser>
          <c:idx val="6"/>
          <c:order val="6"/>
          <c:tx>
            <c:strRef>
              <c:f>'A _GOEHS-Salary-Leader'!$F$105</c:f>
              <c:strCache>
                <c:ptCount val="1"/>
                <c:pt idx="0">
                  <c:v>Engineer</c:v>
                </c:pt>
              </c:strCache>
            </c:strRef>
          </c:tx>
          <c:spPr>
            <a:ln w="222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 _GOEHS-Salary-Leader'!$G$98:$S$98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'A _GOEHS-Salary-Leader'!$G$105:$S$105</c:f>
              <c:numCache>
                <c:formatCode>0%</c:formatCode>
                <c:ptCount val="13"/>
                <c:pt idx="0">
                  <c:v>0</c:v>
                </c:pt>
                <c:pt idx="1">
                  <c:v>0.83333333333333337</c:v>
                </c:pt>
                <c:pt idx="2">
                  <c:v>0.95833333333333337</c:v>
                </c:pt>
                <c:pt idx="3">
                  <c:v>0.83333333333333337</c:v>
                </c:pt>
                <c:pt idx="4">
                  <c:v>0.54166666666666663</c:v>
                </c:pt>
                <c:pt idx="5">
                  <c:v>0.875</c:v>
                </c:pt>
                <c:pt idx="6">
                  <c:v>0.70833333333333337</c:v>
                </c:pt>
                <c:pt idx="7">
                  <c:v>1.125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>
                  <c:v>0.73437499999999989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0E3-4302-9626-898009ACE4B0}"/>
            </c:ext>
          </c:extLst>
        </c:ser>
        <c:ser>
          <c:idx val="7"/>
          <c:order val="7"/>
          <c:tx>
            <c:strRef>
              <c:f>'A _GOEHS-Salary-Leader'!$F$106</c:f>
              <c:strCache>
                <c:ptCount val="1"/>
                <c:pt idx="0">
                  <c:v>EHS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 _GOEHS-Salary-Leader'!$G$98:$S$98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'A _GOEHS-Salary-Leader'!$G$106:$S$106</c:f>
              <c:numCache>
                <c:formatCode>0%</c:formatCode>
                <c:ptCount val="13"/>
                <c:pt idx="0">
                  <c:v>3.5</c:v>
                </c:pt>
                <c:pt idx="1">
                  <c:v>1.875</c:v>
                </c:pt>
                <c:pt idx="2">
                  <c:v>2.75</c:v>
                </c:pt>
                <c:pt idx="3">
                  <c:v>1.75</c:v>
                </c:pt>
                <c:pt idx="4">
                  <c:v>1.625</c:v>
                </c:pt>
                <c:pt idx="5">
                  <c:v>1.375</c:v>
                </c:pt>
                <c:pt idx="6">
                  <c:v>2.125</c:v>
                </c:pt>
                <c:pt idx="7">
                  <c:v>1.625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>
                  <c:v>2.078125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0E3-4302-9626-898009ACE4B0}"/>
            </c:ext>
          </c:extLst>
        </c:ser>
        <c:ser>
          <c:idx val="8"/>
          <c:order val="8"/>
          <c:tx>
            <c:strRef>
              <c:f>'A _GOEHS-Salary-Leader'!$F$107</c:f>
              <c:strCache>
                <c:ptCount val="1"/>
                <c:pt idx="0">
                  <c:v>HR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 _GOEHS-Salary-Leader'!$G$98:$S$98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'A _GOEHS-Salary-Leader'!$G$107:$S$107</c:f>
              <c:numCache>
                <c:formatCode>0%</c:formatCode>
                <c:ptCount val="13"/>
                <c:pt idx="0">
                  <c:v>0.75</c:v>
                </c:pt>
                <c:pt idx="1">
                  <c:v>1.0833333333333333</c:v>
                </c:pt>
                <c:pt idx="2">
                  <c:v>0.66666666666666663</c:v>
                </c:pt>
                <c:pt idx="3">
                  <c:v>1.0833333333333333</c:v>
                </c:pt>
                <c:pt idx="4">
                  <c:v>1.0833333333333333</c:v>
                </c:pt>
                <c:pt idx="5">
                  <c:v>0.75</c:v>
                </c:pt>
                <c:pt idx="6">
                  <c:v>0.66666666666666663</c:v>
                </c:pt>
                <c:pt idx="7">
                  <c:v>0.66666666666666663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>
                  <c:v>0.84375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0E3-4302-9626-898009ACE4B0}"/>
            </c:ext>
          </c:extLst>
        </c:ser>
        <c:ser>
          <c:idx val="9"/>
          <c:order val="9"/>
          <c:tx>
            <c:strRef>
              <c:f>'A _GOEHS-Salary-Leader'!$F$108</c:f>
              <c:strCache>
                <c:ptCount val="1"/>
                <c:pt idx="0">
                  <c:v>FI/GPS</c:v>
                </c:pt>
              </c:strCache>
            </c:strRef>
          </c:tx>
          <c:spPr>
            <a:ln w="2222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 _GOEHS-Salary-Leader'!$G$98:$S$98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'A _GOEHS-Salary-Leader'!$G$108:$S$108</c:f>
              <c:numCache>
                <c:formatCode>0%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0.5</c:v>
                </c:pt>
                <c:pt idx="6">
                  <c:v>1</c:v>
                </c:pt>
                <c:pt idx="7">
                  <c:v>0.5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>
                  <c:v>0.6875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0E3-4302-9626-898009ACE4B0}"/>
            </c:ext>
          </c:extLst>
        </c:ser>
        <c:ser>
          <c:idx val="10"/>
          <c:order val="10"/>
          <c:tx>
            <c:v>Target</c:v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'A _GOEHS-Salary-Leader'!$G$98:$S$98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'A _GOEHS-Salary-Leader'!$G$110:$S$110</c:f>
              <c:numCache>
                <c:formatCode>0%</c:formatCode>
                <c:ptCount val="13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FA-4842-9BFF-6784110C7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177288"/>
        <c:axId val="1905092104"/>
      </c:lineChart>
      <c:catAx>
        <c:axId val="1966177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092104"/>
        <c:crosses val="autoZero"/>
        <c:auto val="1"/>
        <c:lblAlgn val="ctr"/>
        <c:lblOffset val="100"/>
        <c:noMultiLvlLbl val="0"/>
      </c:catAx>
      <c:valAx>
        <c:axId val="1905092104"/>
        <c:scaling>
          <c:orientation val="minMax"/>
          <c:max val="3.8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177288"/>
        <c:crosses val="autoZero"/>
        <c:crossBetween val="between"/>
        <c:majorUnit val="0.25"/>
        <c:minorUnit val="5.000000000000001E-2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1838439173778447E-2"/>
          <c:y val="0.16026284575175778"/>
          <c:w val="0.97106159313076379"/>
          <c:h val="0.664110971299541"/>
        </c:manualLayout>
      </c:layout>
      <c:lineChart>
        <c:grouping val="standard"/>
        <c:varyColors val="0"/>
        <c:ser>
          <c:idx val="0"/>
          <c:order val="0"/>
          <c:tx>
            <c:strRef>
              <c:f>'B_QR-Hourly-Leader'!$F$68</c:f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'B_QR-Hourly-Leader'!$G$67:$AF$67</c:f>
              <c:strCache>
                <c:ptCount val="25"/>
                <c:pt idx="0">
                  <c:v>JAN</c:v>
                </c:pt>
                <c:pt idx="2">
                  <c:v>FEB</c:v>
                </c:pt>
                <c:pt idx="4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2">
                  <c:v>JUL</c:v>
                </c:pt>
                <c:pt idx="14">
                  <c:v>AUG</c:v>
                </c:pt>
                <c:pt idx="16">
                  <c:v>SEP</c:v>
                </c:pt>
                <c:pt idx="18">
                  <c:v>OCT</c:v>
                </c:pt>
                <c:pt idx="20">
                  <c:v>NOV</c:v>
                </c:pt>
                <c:pt idx="22">
                  <c:v>DEC</c:v>
                </c:pt>
                <c:pt idx="24">
                  <c:v>YTD</c:v>
                </c:pt>
              </c:strCache>
            </c:strRef>
          </c:cat>
          <c:val>
            <c:numRef>
              <c:f>'B_QR-Hourly-Leader'!$G$68:$AF$68</c:f>
            </c:numRef>
          </c:val>
          <c:smooth val="0"/>
          <c:extLst>
            <c:ext xmlns:c16="http://schemas.microsoft.com/office/drawing/2014/chart" uri="{C3380CC4-5D6E-409C-BE32-E72D297353CC}">
              <c16:uniqueId val="{00000000-5BB4-4252-B65D-224D847D9872}"/>
            </c:ext>
          </c:extLst>
        </c:ser>
        <c:ser>
          <c:idx val="1"/>
          <c:order val="1"/>
          <c:tx>
            <c:strRef>
              <c:f>'B_QR-Hourly-Leader'!$F$69</c:f>
              <c:strCache>
                <c:ptCount val="1"/>
                <c:pt idx="0">
                  <c:v>%BCA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'B_QR-Hourly-Leader'!$G$67:$AF$67</c:f>
              <c:strCache>
                <c:ptCount val="25"/>
                <c:pt idx="0">
                  <c:v>JAN</c:v>
                </c:pt>
                <c:pt idx="2">
                  <c:v>FEB</c:v>
                </c:pt>
                <c:pt idx="4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2">
                  <c:v>JUL</c:v>
                </c:pt>
                <c:pt idx="14">
                  <c:v>AUG</c:v>
                </c:pt>
                <c:pt idx="16">
                  <c:v>SEP</c:v>
                </c:pt>
                <c:pt idx="18">
                  <c:v>OCT</c:v>
                </c:pt>
                <c:pt idx="20">
                  <c:v>NOV</c:v>
                </c:pt>
                <c:pt idx="22">
                  <c:v>DEC</c:v>
                </c:pt>
                <c:pt idx="24">
                  <c:v>YTD</c:v>
                </c:pt>
              </c:strCache>
            </c:strRef>
          </c:cat>
          <c:val>
            <c:numRef>
              <c:f>'B_QR-Hourly-Leader'!$G$69:$AF$69</c:f>
              <c:numCache>
                <c:formatCode>0%</c:formatCode>
                <c:ptCount val="26"/>
                <c:pt idx="0">
                  <c:v>0.375</c:v>
                </c:pt>
                <c:pt idx="2">
                  <c:v>0.47916666666666669</c:v>
                </c:pt>
                <c:pt idx="4">
                  <c:v>0.72916666666666663</c:v>
                </c:pt>
                <c:pt idx="6">
                  <c:v>0.35416666666666669</c:v>
                </c:pt>
                <c:pt idx="8">
                  <c:v>1.25</c:v>
                </c:pt>
                <c:pt idx="10">
                  <c:v>1.2708333333333333</c:v>
                </c:pt>
                <c:pt idx="12">
                  <c:v>1.2291666666666667</c:v>
                </c:pt>
                <c:pt idx="14">
                  <c:v>1.3333333333333333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0.58506944444444442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B4-4252-B65D-224D847D9872}"/>
            </c:ext>
          </c:extLst>
        </c:ser>
        <c:ser>
          <c:idx val="2"/>
          <c:order val="2"/>
          <c:tx>
            <c:strRef>
              <c:f>'B_QR-Hourly-Leader'!$F$70</c:f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'B_QR-Hourly-Leader'!$G$67:$AF$67</c:f>
              <c:strCache>
                <c:ptCount val="25"/>
                <c:pt idx="0">
                  <c:v>JAN</c:v>
                </c:pt>
                <c:pt idx="2">
                  <c:v>FEB</c:v>
                </c:pt>
                <c:pt idx="4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2">
                  <c:v>JUL</c:v>
                </c:pt>
                <c:pt idx="14">
                  <c:v>AUG</c:v>
                </c:pt>
                <c:pt idx="16">
                  <c:v>SEP</c:v>
                </c:pt>
                <c:pt idx="18">
                  <c:v>OCT</c:v>
                </c:pt>
                <c:pt idx="20">
                  <c:v>NOV</c:v>
                </c:pt>
                <c:pt idx="22">
                  <c:v>DEC</c:v>
                </c:pt>
                <c:pt idx="24">
                  <c:v>YTD</c:v>
                </c:pt>
              </c:strCache>
            </c:strRef>
          </c:cat>
          <c:val>
            <c:numRef>
              <c:f>'B_QR-Hourly-Leader'!$G$70:$AF$70</c:f>
            </c:numRef>
          </c:val>
          <c:smooth val="0"/>
          <c:extLst>
            <c:ext xmlns:c16="http://schemas.microsoft.com/office/drawing/2014/chart" uri="{C3380CC4-5D6E-409C-BE32-E72D297353CC}">
              <c16:uniqueId val="{00000002-5BB4-4252-B65D-224D847D9872}"/>
            </c:ext>
          </c:extLst>
        </c:ser>
        <c:ser>
          <c:idx val="3"/>
          <c:order val="3"/>
          <c:tx>
            <c:strRef>
              <c:f>'B_QR-Hourly-Leader'!$F$71</c:f>
              <c:strCache>
                <c:ptCount val="1"/>
                <c:pt idx="0">
                  <c:v>%BCB-A</c:v>
                </c:pt>
              </c:strCache>
            </c:strRef>
          </c:tx>
          <c:spPr>
            <a:ln w="19050" cap="rnd" cmpd="sng" algn="ctr">
              <a:solidFill>
                <a:schemeClr val="accent4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'B_QR-Hourly-Leader'!$G$67:$AF$67</c:f>
              <c:strCache>
                <c:ptCount val="25"/>
                <c:pt idx="0">
                  <c:v>JAN</c:v>
                </c:pt>
                <c:pt idx="2">
                  <c:v>FEB</c:v>
                </c:pt>
                <c:pt idx="4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2">
                  <c:v>JUL</c:v>
                </c:pt>
                <c:pt idx="14">
                  <c:v>AUG</c:v>
                </c:pt>
                <c:pt idx="16">
                  <c:v>SEP</c:v>
                </c:pt>
                <c:pt idx="18">
                  <c:v>OCT</c:v>
                </c:pt>
                <c:pt idx="20">
                  <c:v>NOV</c:v>
                </c:pt>
                <c:pt idx="22">
                  <c:v>DEC</c:v>
                </c:pt>
                <c:pt idx="24">
                  <c:v>YTD</c:v>
                </c:pt>
              </c:strCache>
            </c:strRef>
          </c:cat>
          <c:val>
            <c:numRef>
              <c:f>'B_QR-Hourly-Leader'!$G$71:$AF$71</c:f>
              <c:numCache>
                <c:formatCode>0%</c:formatCode>
                <c:ptCount val="26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0.5625</c:v>
                </c:pt>
                <c:pt idx="12">
                  <c:v>9.375E-2</c:v>
                </c:pt>
                <c:pt idx="14">
                  <c:v>6.25E-2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5.9895833333333336E-2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B4-4252-B65D-224D847D9872}"/>
            </c:ext>
          </c:extLst>
        </c:ser>
        <c:ser>
          <c:idx val="4"/>
          <c:order val="4"/>
          <c:tx>
            <c:strRef>
              <c:f>'B_QR-Hourly-Leader'!$F$72</c:f>
            </c:strRef>
          </c:tx>
          <c:spPr>
            <a:ln w="19050" cap="rnd" cmpd="sng" algn="ctr">
              <a:solidFill>
                <a:schemeClr val="accent5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'B_QR-Hourly-Leader'!$G$67:$AF$67</c:f>
              <c:strCache>
                <c:ptCount val="25"/>
                <c:pt idx="0">
                  <c:v>JAN</c:v>
                </c:pt>
                <c:pt idx="2">
                  <c:v>FEB</c:v>
                </c:pt>
                <c:pt idx="4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2">
                  <c:v>JUL</c:v>
                </c:pt>
                <c:pt idx="14">
                  <c:v>AUG</c:v>
                </c:pt>
                <c:pt idx="16">
                  <c:v>SEP</c:v>
                </c:pt>
                <c:pt idx="18">
                  <c:v>OCT</c:v>
                </c:pt>
                <c:pt idx="20">
                  <c:v>NOV</c:v>
                </c:pt>
                <c:pt idx="22">
                  <c:v>DEC</c:v>
                </c:pt>
                <c:pt idx="24">
                  <c:v>YTD</c:v>
                </c:pt>
              </c:strCache>
            </c:strRef>
          </c:cat>
          <c:val>
            <c:numRef>
              <c:f>'B_QR-Hourly-Leader'!$G$72:$AF$72</c:f>
            </c:numRef>
          </c:val>
          <c:smooth val="0"/>
          <c:extLst>
            <c:ext xmlns:c16="http://schemas.microsoft.com/office/drawing/2014/chart" uri="{C3380CC4-5D6E-409C-BE32-E72D297353CC}">
              <c16:uniqueId val="{00000004-5BB4-4252-B65D-224D847D9872}"/>
            </c:ext>
          </c:extLst>
        </c:ser>
        <c:ser>
          <c:idx val="5"/>
          <c:order val="5"/>
          <c:tx>
            <c:strRef>
              <c:f>'B_QR-Hourly-Leader'!$F$73</c:f>
              <c:strCache>
                <c:ptCount val="1"/>
                <c:pt idx="0">
                  <c:v>%BCB-C</c:v>
                </c:pt>
              </c:strCache>
            </c:strRef>
          </c:tx>
          <c:spPr>
            <a:ln w="19050" cap="rnd" cmpd="sng" algn="ctr">
              <a:solidFill>
                <a:schemeClr val="accent6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'B_QR-Hourly-Leader'!$G$67:$AF$67</c:f>
              <c:strCache>
                <c:ptCount val="25"/>
                <c:pt idx="0">
                  <c:v>JAN</c:v>
                </c:pt>
                <c:pt idx="2">
                  <c:v>FEB</c:v>
                </c:pt>
                <c:pt idx="4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2">
                  <c:v>JUL</c:v>
                </c:pt>
                <c:pt idx="14">
                  <c:v>AUG</c:v>
                </c:pt>
                <c:pt idx="16">
                  <c:v>SEP</c:v>
                </c:pt>
                <c:pt idx="18">
                  <c:v>OCT</c:v>
                </c:pt>
                <c:pt idx="20">
                  <c:v>NOV</c:v>
                </c:pt>
                <c:pt idx="22">
                  <c:v>DEC</c:v>
                </c:pt>
                <c:pt idx="24">
                  <c:v>YTD</c:v>
                </c:pt>
              </c:strCache>
            </c:strRef>
          </c:cat>
          <c:val>
            <c:numRef>
              <c:f>'B_QR-Hourly-Leader'!$G$73:$AF$73</c:f>
              <c:numCache>
                <c:formatCode>0%</c:formatCode>
                <c:ptCount val="26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0.6</c:v>
                </c:pt>
                <c:pt idx="12">
                  <c:v>0.85</c:v>
                </c:pt>
                <c:pt idx="14">
                  <c:v>0.45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0.15833333333333333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B4-4252-B65D-224D847D9872}"/>
            </c:ext>
          </c:extLst>
        </c:ser>
        <c:ser>
          <c:idx val="6"/>
          <c:order val="6"/>
          <c:tx>
            <c:strRef>
              <c:f>'B_QR-Hourly-Leader'!$F$74</c:f>
            </c:strRef>
          </c:tx>
          <c:spPr>
            <a:ln w="19050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'B_QR-Hourly-Leader'!$G$67:$AF$67</c:f>
              <c:strCache>
                <c:ptCount val="25"/>
                <c:pt idx="0">
                  <c:v>JAN</c:v>
                </c:pt>
                <c:pt idx="2">
                  <c:v>FEB</c:v>
                </c:pt>
                <c:pt idx="4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2">
                  <c:v>JUL</c:v>
                </c:pt>
                <c:pt idx="14">
                  <c:v>AUG</c:v>
                </c:pt>
                <c:pt idx="16">
                  <c:v>SEP</c:v>
                </c:pt>
                <c:pt idx="18">
                  <c:v>OCT</c:v>
                </c:pt>
                <c:pt idx="20">
                  <c:v>NOV</c:v>
                </c:pt>
                <c:pt idx="22">
                  <c:v>DEC</c:v>
                </c:pt>
                <c:pt idx="24">
                  <c:v>YTD</c:v>
                </c:pt>
              </c:strCache>
            </c:strRef>
          </c:cat>
          <c:val>
            <c:numRef>
              <c:f>'B_QR-Hourly-Leader'!$G$74:$AF$74</c:f>
            </c:numRef>
          </c:val>
          <c:smooth val="0"/>
          <c:extLst>
            <c:ext xmlns:c16="http://schemas.microsoft.com/office/drawing/2014/chart" uri="{C3380CC4-5D6E-409C-BE32-E72D297353CC}">
              <c16:uniqueId val="{00000006-5BB4-4252-B65D-224D847D9872}"/>
            </c:ext>
          </c:extLst>
        </c:ser>
        <c:ser>
          <c:idx val="7"/>
          <c:order val="7"/>
          <c:tx>
            <c:strRef>
              <c:f>'B_QR-Hourly-Leader'!$F$75</c:f>
              <c:strCache>
                <c:ptCount val="1"/>
                <c:pt idx="0">
                  <c:v>%Retread</c:v>
                </c:pt>
              </c:strCache>
            </c:strRef>
          </c:tx>
          <c:spPr>
            <a:ln w="19050" cap="rnd" cmpd="sng" algn="ctr">
              <a:solidFill>
                <a:schemeClr val="accent2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'B_QR-Hourly-Leader'!$G$67:$AF$67</c:f>
              <c:strCache>
                <c:ptCount val="25"/>
                <c:pt idx="0">
                  <c:v>JAN</c:v>
                </c:pt>
                <c:pt idx="2">
                  <c:v>FEB</c:v>
                </c:pt>
                <c:pt idx="4">
                  <c:v>MAR</c:v>
                </c:pt>
                <c:pt idx="6">
                  <c:v>APR</c:v>
                </c:pt>
                <c:pt idx="8">
                  <c:v>MAY</c:v>
                </c:pt>
                <c:pt idx="10">
                  <c:v>JUN</c:v>
                </c:pt>
                <c:pt idx="12">
                  <c:v>JUL</c:v>
                </c:pt>
                <c:pt idx="14">
                  <c:v>AUG</c:v>
                </c:pt>
                <c:pt idx="16">
                  <c:v>SEP</c:v>
                </c:pt>
                <c:pt idx="18">
                  <c:v>OCT</c:v>
                </c:pt>
                <c:pt idx="20">
                  <c:v>NOV</c:v>
                </c:pt>
                <c:pt idx="22">
                  <c:v>DEC</c:v>
                </c:pt>
                <c:pt idx="24">
                  <c:v>YTD</c:v>
                </c:pt>
              </c:strCache>
            </c:strRef>
          </c:cat>
          <c:val>
            <c:numRef>
              <c:f>'B_QR-Hourly-Leader'!$G$75:$AF$75</c:f>
              <c:numCache>
                <c:formatCode>0%</c:formatCode>
                <c:ptCount val="26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0.25</c:v>
                </c:pt>
                <c:pt idx="12">
                  <c:v>0.3125</c:v>
                </c:pt>
                <c:pt idx="14">
                  <c:v>0.5625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9.375E-2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BB4-4252-B65D-224D847D987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29416192"/>
        <c:axId val="1867216048"/>
      </c:lineChart>
      <c:catAx>
        <c:axId val="212941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216048"/>
        <c:crosses val="autoZero"/>
        <c:auto val="1"/>
        <c:lblAlgn val="ctr"/>
        <c:lblOffset val="100"/>
        <c:noMultiLvlLbl val="0"/>
      </c:catAx>
      <c:valAx>
        <c:axId val="18672160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12941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-428625</xdr:colOff>
      <xdr:row>0</xdr:row>
      <xdr:rowOff>-4581525</xdr:rowOff>
    </xdr:from>
    <xdr:to>
      <xdr:col>19</xdr:col>
      <xdr:colOff>152400</xdr:colOff>
      <xdr:row>0</xdr:row>
      <xdr:rowOff>-504825</xdr:rowOff>
    </xdr:to>
    <xdr:graphicFrame macro="">
      <xdr:nvGraphicFramePr>
        <xdr:cNvPr id="18" name="Chart 6">
          <a:extLst>
            <a:ext uri="{FF2B5EF4-FFF2-40B4-BE49-F238E27FC236}">
              <a16:creationId xmlns:a16="http://schemas.microsoft.com/office/drawing/2014/main" id="{5200FF15-86D2-8305-8FBC-E7069AE07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35858</xdr:colOff>
      <xdr:row>72</xdr:row>
      <xdr:rowOff>20507</xdr:rowOff>
    </xdr:from>
    <xdr:to>
      <xdr:col>32</xdr:col>
      <xdr:colOff>430305</xdr:colOff>
      <xdr:row>91</xdr:row>
      <xdr:rowOff>98612</xdr:rowOff>
    </xdr:to>
    <xdr:graphicFrame macro="">
      <xdr:nvGraphicFramePr>
        <xdr:cNvPr id="16" name="Chart 18">
          <a:extLst>
            <a:ext uri="{FF2B5EF4-FFF2-40B4-BE49-F238E27FC236}">
              <a16:creationId xmlns:a16="http://schemas.microsoft.com/office/drawing/2014/main" id="{13A62FF5-D03F-5D0C-8EF0-90D0237D79C2}"/>
            </a:ext>
            <a:ext uri="{147F2762-F138-4A5C-976F-8EAC2B608ADB}">
              <a16:predDERef xmlns:a16="http://schemas.microsoft.com/office/drawing/2014/main" pred="{5200FF15-86D2-8305-8FBC-E7069AE07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2179320</xdr:colOff>
      <xdr:row>119</xdr:row>
      <xdr:rowOff>9524</xdr:rowOff>
    </xdr:from>
    <xdr:to>
      <xdr:col>22</xdr:col>
      <xdr:colOff>171450</xdr:colOff>
      <xdr:row>150</xdr:row>
      <xdr:rowOff>110490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FFE8C82A-A875-1DA4-E8F9-A16CA1847C6C}"/>
            </a:ext>
            <a:ext uri="{147F2762-F138-4A5C-976F-8EAC2B608ADB}">
              <a16:predDERef xmlns:a16="http://schemas.microsoft.com/office/drawing/2014/main" pred="{13A62FF5-D03F-5D0C-8EF0-90D0237D7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0.57895</cdr:x>
      <cdr:y>0.45009</cdr:y>
    </cdr:from>
    <cdr:to>
      <cdr:x>0.59865</cdr:x>
      <cdr:y>0.50852</cdr:y>
    </cdr:to>
    <cdr:sp macro="" textlink="">
      <cdr:nvSpPr>
        <cdr:cNvPr id="2" name="Arrow: Down 1">
          <a:extLst xmlns:a="http://schemas.openxmlformats.org/drawingml/2006/main">
            <a:ext uri="{FF2B5EF4-FFF2-40B4-BE49-F238E27FC236}">
              <a16:creationId xmlns:a16="http://schemas.microsoft.com/office/drawing/2014/main" id="{B433DE2F-FA59-FD79-0073-82D7EF6216CA}"/>
            </a:ext>
          </a:extLst>
        </cdr:cNvPr>
        <cdr:cNvSpPr/>
      </cdr:nvSpPr>
      <cdr:spPr>
        <a:xfrm xmlns:a="http://schemas.openxmlformats.org/drawingml/2006/main">
          <a:off x="4754290" y="2171829"/>
          <a:ext cx="161774" cy="281946"/>
        </a:xfrm>
        <a:prstGeom xmlns:a="http://schemas.openxmlformats.org/drawingml/2006/main" prst="downArrow">
          <a:avLst/>
        </a:prstGeom>
        <a:solidFill xmlns:a="http://schemas.openxmlformats.org/drawingml/2006/main">
          <a:srgbClr val="FFFF0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313765</xdr:colOff>
      <xdr:row>77</xdr:row>
      <xdr:rowOff>143435</xdr:rowOff>
    </xdr:from>
    <xdr:to>
      <xdr:col>30</xdr:col>
      <xdr:colOff>304801</xdr:colOff>
      <xdr:row>99</xdr:row>
      <xdr:rowOff>116540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4ECFE2-5C8A-6474-AECE-9998F2617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6664-D875-4268-8D01-D613928B33A4}">
  <sheetPr codeName="Sheet3"/>
  <dimension ref="A2:G18"/>
  <sheetViews>
    <sheetView topLeftCell="A8" workbookViewId="0">
      <selection activeCell="E34" sqref="E34"/>
    </sheetView>
  </sheetViews>
  <sheetFormatPr defaultColWidth="8.85546875" defaultRowHeight="12"/>
  <cols>
    <col min="1" max="1" width="23.5703125" style="12" customWidth="1"/>
    <col min="2" max="2" width="17.7109375" style="12" customWidth="1"/>
    <col min="3" max="7" width="14.7109375" style="12" customWidth="1"/>
    <col min="8" max="16384" width="8.85546875" style="12"/>
  </cols>
  <sheetData>
    <row r="2" spans="1:7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</row>
    <row r="3" spans="1:7" ht="23.45" customHeight="1">
      <c r="A3" s="13" t="s">
        <v>7</v>
      </c>
      <c r="B3" s="14" t="s">
        <v>8</v>
      </c>
      <c r="C3" s="14" t="s">
        <v>8</v>
      </c>
      <c r="D3" s="14" t="s">
        <v>8</v>
      </c>
      <c r="E3" s="14" t="s">
        <v>8</v>
      </c>
      <c r="F3" s="14" t="s">
        <v>9</v>
      </c>
      <c r="G3" s="14" t="s">
        <v>10</v>
      </c>
    </row>
    <row r="4" spans="1:7" ht="23.45" customHeight="1">
      <c r="A4" s="13" t="s">
        <v>11</v>
      </c>
      <c r="B4" s="14" t="s">
        <v>12</v>
      </c>
      <c r="C4" s="14" t="s">
        <v>12</v>
      </c>
      <c r="D4" s="14" t="s">
        <v>12</v>
      </c>
      <c r="E4" s="14" t="s">
        <v>12</v>
      </c>
      <c r="F4" s="14" t="s">
        <v>13</v>
      </c>
      <c r="G4" s="14" t="s">
        <v>10</v>
      </c>
    </row>
    <row r="5" spans="1:7" ht="23.45" customHeight="1">
      <c r="A5" s="13" t="s">
        <v>14</v>
      </c>
      <c r="B5" s="14" t="s">
        <v>12</v>
      </c>
      <c r="C5" s="14" t="s">
        <v>12</v>
      </c>
      <c r="D5" s="14" t="s">
        <v>12</v>
      </c>
      <c r="E5" s="14" t="s">
        <v>12</v>
      </c>
      <c r="F5" s="14" t="s">
        <v>13</v>
      </c>
      <c r="G5" s="14" t="s">
        <v>10</v>
      </c>
    </row>
    <row r="6" spans="1:7" ht="23.45" customHeight="1">
      <c r="A6" s="13" t="s">
        <v>15</v>
      </c>
      <c r="B6" s="14" t="s">
        <v>10</v>
      </c>
      <c r="C6" s="14" t="s">
        <v>10</v>
      </c>
      <c r="D6" s="14" t="s">
        <v>16</v>
      </c>
      <c r="E6" s="14" t="s">
        <v>8</v>
      </c>
      <c r="F6" s="14" t="s">
        <v>17</v>
      </c>
      <c r="G6" s="14" t="s">
        <v>10</v>
      </c>
    </row>
    <row r="7" spans="1:7" ht="23.45" customHeight="1">
      <c r="A7" s="13" t="s">
        <v>18</v>
      </c>
      <c r="B7" s="14" t="s">
        <v>10</v>
      </c>
      <c r="C7" s="14" t="s">
        <v>16</v>
      </c>
      <c r="D7" s="14" t="s">
        <v>8</v>
      </c>
      <c r="E7" s="14" t="s">
        <v>10</v>
      </c>
      <c r="F7" s="14" t="s">
        <v>17</v>
      </c>
      <c r="G7" s="14" t="s">
        <v>10</v>
      </c>
    </row>
    <row r="10" spans="1:7">
      <c r="A10" s="17" t="s">
        <v>19</v>
      </c>
      <c r="B10" s="17"/>
      <c r="C10" s="12" t="s">
        <v>20</v>
      </c>
    </row>
    <row r="11" spans="1:7">
      <c r="A11" s="17" t="s">
        <v>21</v>
      </c>
      <c r="B11" s="17"/>
      <c r="C11" s="12" t="s">
        <v>22</v>
      </c>
    </row>
    <row r="12" spans="1:7">
      <c r="A12" s="17" t="s">
        <v>23</v>
      </c>
      <c r="B12" s="17"/>
      <c r="C12" s="12" t="s">
        <v>24</v>
      </c>
      <c r="F12" s="25" t="b">
        <v>1</v>
      </c>
    </row>
    <row r="13" spans="1:7">
      <c r="A13" s="17" t="s">
        <v>25</v>
      </c>
      <c r="B13" s="17"/>
      <c r="C13" s="12" t="s">
        <v>26</v>
      </c>
      <c r="F13" s="25" t="b">
        <v>1</v>
      </c>
    </row>
    <row r="15" spans="1:7">
      <c r="A15" s="84" t="s">
        <v>5</v>
      </c>
      <c r="B15" s="29"/>
      <c r="C15" s="12" t="s">
        <v>27</v>
      </c>
      <c r="F15" s="25" t="b">
        <v>1</v>
      </c>
    </row>
    <row r="16" spans="1:7">
      <c r="A16" s="84"/>
      <c r="B16" s="29"/>
      <c r="C16" s="12" t="s">
        <v>28</v>
      </c>
      <c r="F16" s="25" t="b">
        <v>1</v>
      </c>
    </row>
    <row r="17" spans="1:6">
      <c r="A17" s="84"/>
      <c r="B17" s="29"/>
      <c r="C17" s="12" t="s">
        <v>29</v>
      </c>
      <c r="F17" s="25" t="b">
        <v>1</v>
      </c>
    </row>
    <row r="18" spans="1:6" ht="13.9" customHeight="1"/>
  </sheetData>
  <mergeCells count="1">
    <mergeCell ref="A15:A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557B2-07D7-4F20-8A0D-E1CB60D3CF26}">
  <sheetPr codeName="Sheet1" filterMode="1"/>
  <dimension ref="A1:AG110"/>
  <sheetViews>
    <sheetView zoomScaleNormal="100" workbookViewId="0">
      <pane ySplit="3" topLeftCell="A4" activePane="bottomLeft" state="frozen"/>
      <selection pane="bottomLeft" activeCell="I21" sqref="I21"/>
    </sheetView>
  </sheetViews>
  <sheetFormatPr defaultColWidth="8.85546875" defaultRowHeight="12"/>
  <cols>
    <col min="1" max="1" width="4.7109375" style="12" customWidth="1"/>
    <col min="2" max="2" width="8.85546875" style="21"/>
    <col min="3" max="3" width="42.7109375" style="12" bestFit="1" customWidth="1"/>
    <col min="4" max="4" width="43.7109375" style="12" hidden="1" customWidth="1"/>
    <col min="5" max="5" width="6.7109375" style="12" bestFit="1" customWidth="1"/>
    <col min="6" max="6" width="10.7109375" style="11" customWidth="1"/>
    <col min="7" max="7" width="4.7109375" style="11" customWidth="1"/>
    <col min="8" max="31" width="5.5703125" style="21" customWidth="1"/>
    <col min="32" max="32" width="6.7109375" style="11" customWidth="1"/>
    <col min="33" max="33" width="6.7109375" style="12" customWidth="1"/>
    <col min="34" max="16384" width="8.85546875" style="12"/>
  </cols>
  <sheetData>
    <row r="1" spans="1:32" s="10" customFormat="1" ht="36" customHeight="1">
      <c r="A1" s="10" t="e" cm="1">
        <f t="array" aca="1" ref="A1" ca="1">A1:M55No</f>
        <v>#NAME?</v>
      </c>
      <c r="B1" s="18" t="s">
        <v>30</v>
      </c>
      <c r="C1" s="10" t="s">
        <v>31</v>
      </c>
      <c r="D1" s="10" t="s">
        <v>32</v>
      </c>
      <c r="F1" s="31"/>
      <c r="H1" s="34" t="s">
        <v>33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7"/>
    </row>
    <row r="2" spans="1:32" s="10" customFormat="1">
      <c r="B2" s="18"/>
      <c r="F2" s="31"/>
      <c r="G2" s="30"/>
      <c r="H2" s="34"/>
      <c r="I2" s="34" t="s">
        <v>34</v>
      </c>
      <c r="J2" s="86" t="s">
        <v>35</v>
      </c>
      <c r="K2" s="86"/>
      <c r="L2" s="86" t="s">
        <v>36</v>
      </c>
      <c r="M2" s="86"/>
      <c r="N2" s="86" t="s">
        <v>37</v>
      </c>
      <c r="O2" s="86"/>
      <c r="P2" s="86" t="s">
        <v>38</v>
      </c>
      <c r="Q2" s="86"/>
      <c r="R2" s="86" t="s">
        <v>39</v>
      </c>
      <c r="S2" s="86"/>
      <c r="T2" s="86" t="s">
        <v>40</v>
      </c>
      <c r="U2" s="86"/>
      <c r="V2" s="86" t="s">
        <v>41</v>
      </c>
      <c r="W2" s="86"/>
      <c r="X2" s="86" t="s">
        <v>42</v>
      </c>
      <c r="Y2" s="86"/>
      <c r="Z2" s="86" t="s">
        <v>43</v>
      </c>
      <c r="AA2" s="86"/>
      <c r="AB2" s="86" t="s">
        <v>44</v>
      </c>
      <c r="AC2" s="86"/>
      <c r="AD2" s="86" t="s">
        <v>45</v>
      </c>
      <c r="AE2" s="86"/>
      <c r="AF2" s="37" t="s">
        <v>46</v>
      </c>
    </row>
    <row r="3" spans="1:32" s="10" customFormat="1" ht="36" customHeight="1">
      <c r="B3" s="18"/>
      <c r="E3" s="32" t="s">
        <v>47</v>
      </c>
      <c r="F3" s="33" t="s">
        <v>48</v>
      </c>
      <c r="G3" s="32" t="s">
        <v>49</v>
      </c>
      <c r="H3" s="18" t="s">
        <v>50</v>
      </c>
      <c r="I3" s="18" t="s">
        <v>51</v>
      </c>
      <c r="J3" s="18" t="s">
        <v>50</v>
      </c>
      <c r="K3" s="18" t="s">
        <v>51</v>
      </c>
      <c r="L3" s="18" t="s">
        <v>50</v>
      </c>
      <c r="M3" s="18" t="s">
        <v>51</v>
      </c>
      <c r="N3" s="18" t="s">
        <v>50</v>
      </c>
      <c r="O3" s="18" t="s">
        <v>51</v>
      </c>
      <c r="P3" s="18" t="s">
        <v>50</v>
      </c>
      <c r="Q3" s="18" t="s">
        <v>51</v>
      </c>
      <c r="R3" s="18" t="s">
        <v>50</v>
      </c>
      <c r="S3" s="18" t="s">
        <v>51</v>
      </c>
      <c r="T3" s="18" t="s">
        <v>50</v>
      </c>
      <c r="U3" s="18" t="s">
        <v>51</v>
      </c>
      <c r="V3" s="18" t="s">
        <v>50</v>
      </c>
      <c r="W3" s="18" t="s">
        <v>51</v>
      </c>
      <c r="X3" s="18" t="s">
        <v>50</v>
      </c>
      <c r="Y3" s="18" t="s">
        <v>51</v>
      </c>
      <c r="Z3" s="18" t="s">
        <v>50</v>
      </c>
      <c r="AA3" s="18" t="s">
        <v>51</v>
      </c>
      <c r="AB3" s="18" t="s">
        <v>50</v>
      </c>
      <c r="AC3" s="18" t="s">
        <v>51</v>
      </c>
      <c r="AD3" s="18" t="s">
        <v>50</v>
      </c>
      <c r="AE3" s="18" t="s">
        <v>51</v>
      </c>
      <c r="AF3" s="37"/>
    </row>
    <row r="4" spans="1:32">
      <c r="A4" s="11">
        <v>1</v>
      </c>
      <c r="B4" s="20">
        <v>12491</v>
      </c>
      <c r="C4" s="19" t="s">
        <v>52</v>
      </c>
      <c r="D4" s="19" t="s">
        <v>53</v>
      </c>
      <c r="E4" s="19" t="s">
        <v>54</v>
      </c>
      <c r="F4" s="20" t="s">
        <v>55</v>
      </c>
      <c r="G4" s="26" t="b">
        <v>1</v>
      </c>
      <c r="H4" s="21">
        <v>4</v>
      </c>
      <c r="I4" s="23">
        <v>0</v>
      </c>
      <c r="J4" s="21">
        <v>4</v>
      </c>
      <c r="K4" s="23">
        <v>2</v>
      </c>
      <c r="L4" s="21">
        <v>4</v>
      </c>
      <c r="M4" s="23">
        <v>4</v>
      </c>
      <c r="N4" s="21">
        <v>4</v>
      </c>
      <c r="O4" s="23">
        <v>0</v>
      </c>
      <c r="P4" s="21">
        <v>4</v>
      </c>
      <c r="Q4" s="23">
        <v>0</v>
      </c>
      <c r="R4" s="21">
        <v>4</v>
      </c>
      <c r="S4" s="47">
        <v>2</v>
      </c>
      <c r="T4" s="21">
        <v>4</v>
      </c>
      <c r="U4" s="47">
        <v>0</v>
      </c>
      <c r="V4" s="21">
        <v>4</v>
      </c>
      <c r="W4" s="47">
        <v>4</v>
      </c>
      <c r="X4" s="21">
        <v>4</v>
      </c>
      <c r="Y4" s="47">
        <v>0</v>
      </c>
      <c r="Z4" s="21">
        <v>4</v>
      </c>
      <c r="AA4" s="23"/>
      <c r="AB4" s="21">
        <v>4</v>
      </c>
      <c r="AC4" s="23"/>
      <c r="AD4" s="21">
        <v>4</v>
      </c>
      <c r="AE4" s="23"/>
      <c r="AF4" s="59">
        <f>SUM(I4,K4,AE4,AC4,AA4,Y4,W4,U4,S4,Q4,O4,M4)/(12*4)</f>
        <v>0.25</v>
      </c>
    </row>
    <row r="5" spans="1:32">
      <c r="A5" s="11">
        <v>2</v>
      </c>
      <c r="B5" s="20">
        <v>12750</v>
      </c>
      <c r="C5" s="19" t="s">
        <v>56</v>
      </c>
      <c r="D5" s="19" t="s">
        <v>57</v>
      </c>
      <c r="E5" s="19" t="s">
        <v>58</v>
      </c>
      <c r="F5" s="20" t="s">
        <v>59</v>
      </c>
      <c r="G5" s="26" t="b">
        <v>1</v>
      </c>
      <c r="H5" s="21">
        <v>4</v>
      </c>
      <c r="I5" s="23">
        <v>0</v>
      </c>
      <c r="J5" s="21">
        <v>4</v>
      </c>
      <c r="K5" s="23">
        <v>5</v>
      </c>
      <c r="L5" s="21">
        <v>4</v>
      </c>
      <c r="M5" s="23">
        <v>4</v>
      </c>
      <c r="N5" s="21">
        <v>4</v>
      </c>
      <c r="O5" s="23">
        <v>4</v>
      </c>
      <c r="P5" s="21">
        <v>4</v>
      </c>
      <c r="Q5" s="23">
        <v>5</v>
      </c>
      <c r="R5" s="21">
        <v>4</v>
      </c>
      <c r="S5" s="23">
        <v>4</v>
      </c>
      <c r="T5" s="21">
        <v>4</v>
      </c>
      <c r="U5" s="23">
        <v>4</v>
      </c>
      <c r="V5" s="21">
        <v>4</v>
      </c>
      <c r="W5" s="23">
        <v>4</v>
      </c>
      <c r="X5" s="21">
        <v>4</v>
      </c>
      <c r="Y5" s="23">
        <v>2</v>
      </c>
      <c r="Z5" s="21">
        <v>4</v>
      </c>
      <c r="AA5" s="23"/>
      <c r="AB5" s="21">
        <v>4</v>
      </c>
      <c r="AC5" s="23"/>
      <c r="AD5" s="21">
        <v>4</v>
      </c>
      <c r="AE5" s="23"/>
      <c r="AF5" s="59">
        <f t="shared" ref="AF5:AF56" si="0">SUM(I5,K5,AE5,AC5,AA5,Y5,W5,U5,S5,Q5,O5,M5)/(12*4)</f>
        <v>0.66666666666666663</v>
      </c>
    </row>
    <row r="6" spans="1:32" ht="12" hidden="1" customHeight="1">
      <c r="A6" s="11">
        <v>3</v>
      </c>
      <c r="B6" s="20">
        <v>12752</v>
      </c>
      <c r="C6" s="19" t="s">
        <v>60</v>
      </c>
      <c r="D6" s="19" t="s">
        <v>61</v>
      </c>
      <c r="E6" s="19" t="s">
        <v>54</v>
      </c>
      <c r="F6" s="20" t="s">
        <v>62</v>
      </c>
      <c r="G6" s="26" t="b">
        <v>0</v>
      </c>
      <c r="H6" s="21">
        <v>4</v>
      </c>
      <c r="I6" s="23">
        <v>4</v>
      </c>
      <c r="J6" s="21">
        <v>4</v>
      </c>
      <c r="K6" s="23">
        <v>4</v>
      </c>
      <c r="L6" s="21">
        <v>4</v>
      </c>
      <c r="M6" s="23">
        <v>0</v>
      </c>
      <c r="N6" s="21">
        <v>4</v>
      </c>
      <c r="O6" s="23">
        <v>4</v>
      </c>
      <c r="P6" s="21">
        <v>4</v>
      </c>
      <c r="Q6" s="23">
        <v>4</v>
      </c>
      <c r="R6" s="21">
        <v>4</v>
      </c>
      <c r="S6" s="23">
        <v>4</v>
      </c>
      <c r="T6" s="61">
        <v>0</v>
      </c>
      <c r="U6" s="61">
        <v>0</v>
      </c>
      <c r="V6" s="61">
        <v>0</v>
      </c>
      <c r="W6" s="61">
        <v>0</v>
      </c>
      <c r="X6" s="61">
        <v>0</v>
      </c>
      <c r="Y6" s="23"/>
      <c r="Z6" s="61">
        <v>0</v>
      </c>
      <c r="AA6" s="61"/>
      <c r="AB6" s="61">
        <v>0</v>
      </c>
      <c r="AC6" s="61"/>
      <c r="AD6" s="61">
        <v>0</v>
      </c>
      <c r="AE6" s="61"/>
      <c r="AF6" s="38">
        <f t="shared" si="0"/>
        <v>0.41666666666666669</v>
      </c>
    </row>
    <row r="7" spans="1:32">
      <c r="A7" s="11">
        <v>3</v>
      </c>
      <c r="B7" s="20">
        <v>12900</v>
      </c>
      <c r="C7" s="19" t="s">
        <v>63</v>
      </c>
      <c r="D7" s="19" t="s">
        <v>64</v>
      </c>
      <c r="E7" s="19" t="s">
        <v>65</v>
      </c>
      <c r="F7" s="20" t="s">
        <v>55</v>
      </c>
      <c r="G7" s="26" t="b">
        <v>1</v>
      </c>
      <c r="H7" s="21">
        <v>4</v>
      </c>
      <c r="I7" s="23">
        <v>0</v>
      </c>
      <c r="J7" s="21">
        <v>4</v>
      </c>
      <c r="K7" s="23">
        <v>1</v>
      </c>
      <c r="L7" s="21">
        <v>4</v>
      </c>
      <c r="M7" s="23">
        <v>0</v>
      </c>
      <c r="N7" s="21">
        <v>4</v>
      </c>
      <c r="O7" s="23">
        <v>5</v>
      </c>
      <c r="P7" s="21">
        <v>4</v>
      </c>
      <c r="Q7" s="23">
        <v>2</v>
      </c>
      <c r="R7" s="21">
        <v>4</v>
      </c>
      <c r="S7" s="23">
        <v>4</v>
      </c>
      <c r="T7" s="21">
        <v>4</v>
      </c>
      <c r="U7" s="23">
        <v>0</v>
      </c>
      <c r="V7" s="21">
        <v>4</v>
      </c>
      <c r="W7" s="23">
        <v>4</v>
      </c>
      <c r="X7" s="21">
        <v>4</v>
      </c>
      <c r="Y7" s="23">
        <v>0</v>
      </c>
      <c r="Z7" s="21">
        <v>4</v>
      </c>
      <c r="AA7" s="23"/>
      <c r="AB7" s="21">
        <v>4</v>
      </c>
      <c r="AC7" s="23"/>
      <c r="AD7" s="21">
        <v>4</v>
      </c>
      <c r="AE7" s="23"/>
      <c r="AF7" s="59">
        <f t="shared" si="0"/>
        <v>0.33333333333333331</v>
      </c>
    </row>
    <row r="8" spans="1:32">
      <c r="A8" s="11">
        <v>4</v>
      </c>
      <c r="B8" s="20">
        <v>12220</v>
      </c>
      <c r="C8" s="19" t="s">
        <v>66</v>
      </c>
      <c r="D8" s="19" t="s">
        <v>67</v>
      </c>
      <c r="E8" s="19" t="s">
        <v>54</v>
      </c>
      <c r="F8" s="20" t="s">
        <v>68</v>
      </c>
      <c r="G8" s="26" t="b">
        <v>1</v>
      </c>
      <c r="H8" s="21">
        <v>4</v>
      </c>
      <c r="I8" s="23">
        <v>13</v>
      </c>
      <c r="J8" s="21">
        <v>4</v>
      </c>
      <c r="K8" s="23">
        <v>9</v>
      </c>
      <c r="L8" s="21">
        <v>4</v>
      </c>
      <c r="M8" s="23">
        <v>4</v>
      </c>
      <c r="N8" s="21">
        <v>4</v>
      </c>
      <c r="O8" s="23">
        <v>5</v>
      </c>
      <c r="P8" s="21">
        <v>4</v>
      </c>
      <c r="Q8" s="23">
        <v>13</v>
      </c>
      <c r="R8" s="21">
        <v>4</v>
      </c>
      <c r="S8" s="23">
        <v>18</v>
      </c>
      <c r="T8" s="21">
        <v>4</v>
      </c>
      <c r="U8" s="23">
        <v>11</v>
      </c>
      <c r="V8" s="21">
        <v>4</v>
      </c>
      <c r="W8" s="23">
        <v>11</v>
      </c>
      <c r="X8" s="21">
        <v>4</v>
      </c>
      <c r="Y8" s="47">
        <v>2</v>
      </c>
      <c r="Z8" s="21">
        <v>4</v>
      </c>
      <c r="AA8" s="23"/>
      <c r="AB8" s="21">
        <v>4</v>
      </c>
      <c r="AC8" s="23"/>
      <c r="AD8" s="21">
        <v>4</v>
      </c>
      <c r="AE8" s="23"/>
      <c r="AF8" s="60">
        <f t="shared" si="0"/>
        <v>1.7916666666666667</v>
      </c>
    </row>
    <row r="9" spans="1:32">
      <c r="A9" s="11">
        <v>5</v>
      </c>
      <c r="B9" s="20">
        <v>12881</v>
      </c>
      <c r="C9" s="19" t="s">
        <v>69</v>
      </c>
      <c r="D9" s="19" t="s">
        <v>70</v>
      </c>
      <c r="E9" s="19" t="s">
        <v>71</v>
      </c>
      <c r="F9" s="20" t="s">
        <v>72</v>
      </c>
      <c r="G9" s="26" t="b">
        <v>1</v>
      </c>
      <c r="H9" s="21">
        <v>4</v>
      </c>
      <c r="I9" s="23">
        <v>0</v>
      </c>
      <c r="J9" s="21">
        <v>4</v>
      </c>
      <c r="K9" s="23">
        <v>0</v>
      </c>
      <c r="L9" s="21">
        <v>4</v>
      </c>
      <c r="M9" s="23">
        <v>0</v>
      </c>
      <c r="N9" s="21">
        <v>4</v>
      </c>
      <c r="O9" s="23">
        <v>0</v>
      </c>
      <c r="P9" s="21">
        <v>4</v>
      </c>
      <c r="Q9" s="23">
        <v>4</v>
      </c>
      <c r="R9" s="21">
        <v>4</v>
      </c>
      <c r="S9" s="47">
        <v>1</v>
      </c>
      <c r="T9" s="21">
        <v>4</v>
      </c>
      <c r="U9" s="47">
        <v>2</v>
      </c>
      <c r="V9" s="21">
        <v>4</v>
      </c>
      <c r="W9" s="47">
        <v>0</v>
      </c>
      <c r="X9" s="21">
        <v>4</v>
      </c>
      <c r="Y9" s="47">
        <v>0</v>
      </c>
      <c r="Z9" s="21">
        <v>4</v>
      </c>
      <c r="AA9" s="23"/>
      <c r="AB9" s="21">
        <v>4</v>
      </c>
      <c r="AC9" s="23"/>
      <c r="AD9" s="21">
        <v>4</v>
      </c>
      <c r="AE9" s="23"/>
      <c r="AF9" s="59">
        <f t="shared" si="0"/>
        <v>0.14583333333333334</v>
      </c>
    </row>
    <row r="10" spans="1:32">
      <c r="A10" s="11">
        <v>6</v>
      </c>
      <c r="B10" s="20">
        <v>12552</v>
      </c>
      <c r="C10" s="19" t="s">
        <v>73</v>
      </c>
      <c r="D10" s="19" t="s">
        <v>74</v>
      </c>
      <c r="E10" s="19" t="s">
        <v>75</v>
      </c>
      <c r="F10" s="20" t="s">
        <v>55</v>
      </c>
      <c r="G10" s="26" t="b">
        <v>1</v>
      </c>
      <c r="H10" s="21">
        <v>4</v>
      </c>
      <c r="I10" s="23">
        <v>0</v>
      </c>
      <c r="J10" s="21">
        <v>4</v>
      </c>
      <c r="K10" s="23">
        <v>0</v>
      </c>
      <c r="L10" s="21">
        <v>4</v>
      </c>
      <c r="M10" s="23">
        <v>0</v>
      </c>
      <c r="N10" s="21">
        <v>4</v>
      </c>
      <c r="O10" s="23">
        <v>4</v>
      </c>
      <c r="P10" s="21">
        <v>4</v>
      </c>
      <c r="Q10" s="23">
        <v>1</v>
      </c>
      <c r="R10" s="21">
        <v>4</v>
      </c>
      <c r="S10" s="47">
        <v>4</v>
      </c>
      <c r="T10" s="21">
        <v>4</v>
      </c>
      <c r="U10" s="47">
        <v>0</v>
      </c>
      <c r="V10" s="21">
        <v>4</v>
      </c>
      <c r="W10" s="47">
        <v>2</v>
      </c>
      <c r="X10" s="21">
        <v>4</v>
      </c>
      <c r="Y10" s="47">
        <v>0</v>
      </c>
      <c r="Z10" s="21">
        <v>4</v>
      </c>
      <c r="AA10" s="23"/>
      <c r="AB10" s="21">
        <v>4</v>
      </c>
      <c r="AC10" s="23"/>
      <c r="AD10" s="21">
        <v>4</v>
      </c>
      <c r="AE10" s="23"/>
      <c r="AF10" s="59">
        <f t="shared" si="0"/>
        <v>0.22916666666666666</v>
      </c>
    </row>
    <row r="11" spans="1:32">
      <c r="A11" s="11">
        <v>7</v>
      </c>
      <c r="B11" s="20">
        <v>1324</v>
      </c>
      <c r="C11" s="19" t="s">
        <v>76</v>
      </c>
      <c r="D11" s="19" t="s">
        <v>57</v>
      </c>
      <c r="E11" s="19" t="s">
        <v>75</v>
      </c>
      <c r="F11" s="20" t="s">
        <v>77</v>
      </c>
      <c r="G11" s="26" t="b">
        <v>1</v>
      </c>
      <c r="H11" s="21">
        <v>4</v>
      </c>
      <c r="I11" s="23">
        <v>0</v>
      </c>
      <c r="J11" s="21">
        <v>4</v>
      </c>
      <c r="K11" s="23">
        <v>3</v>
      </c>
      <c r="L11" s="21">
        <v>4</v>
      </c>
      <c r="M11" s="23">
        <v>0</v>
      </c>
      <c r="N11" s="21">
        <v>4</v>
      </c>
      <c r="O11" s="23">
        <v>0</v>
      </c>
      <c r="P11" s="21">
        <v>4</v>
      </c>
      <c r="Q11" s="23">
        <v>3</v>
      </c>
      <c r="R11" s="21">
        <v>4</v>
      </c>
      <c r="S11" s="47">
        <v>3</v>
      </c>
      <c r="T11" s="21">
        <v>4</v>
      </c>
      <c r="U11" s="47">
        <v>1</v>
      </c>
      <c r="V11" s="21">
        <v>4</v>
      </c>
      <c r="W11" s="47">
        <v>3</v>
      </c>
      <c r="X11" s="21">
        <v>4</v>
      </c>
      <c r="Y11" s="47">
        <v>0</v>
      </c>
      <c r="Z11" s="21">
        <v>4</v>
      </c>
      <c r="AA11" s="23"/>
      <c r="AB11" s="21">
        <v>4</v>
      </c>
      <c r="AC11" s="23"/>
      <c r="AD11" s="21">
        <v>4</v>
      </c>
      <c r="AE11" s="23"/>
      <c r="AF11" s="59">
        <f t="shared" si="0"/>
        <v>0.27083333333333331</v>
      </c>
    </row>
    <row r="12" spans="1:32">
      <c r="A12" s="11">
        <v>8</v>
      </c>
      <c r="B12" s="20">
        <v>12014</v>
      </c>
      <c r="C12" s="19" t="s">
        <v>78</v>
      </c>
      <c r="D12" s="19" t="s">
        <v>79</v>
      </c>
      <c r="E12" s="19" t="s">
        <v>80</v>
      </c>
      <c r="F12" s="20" t="s">
        <v>81</v>
      </c>
      <c r="G12" s="26" t="b">
        <v>1</v>
      </c>
      <c r="H12" s="21">
        <v>4</v>
      </c>
      <c r="I12" s="23">
        <v>0</v>
      </c>
      <c r="J12" s="21">
        <v>4</v>
      </c>
      <c r="K12" s="23">
        <v>0</v>
      </c>
      <c r="L12" s="21">
        <v>4</v>
      </c>
      <c r="M12" s="23">
        <v>4</v>
      </c>
      <c r="N12" s="21">
        <v>4</v>
      </c>
      <c r="O12" s="23">
        <v>4</v>
      </c>
      <c r="P12" s="21">
        <v>4</v>
      </c>
      <c r="Q12" s="23">
        <v>4</v>
      </c>
      <c r="R12" s="21">
        <v>4</v>
      </c>
      <c r="S12" s="47">
        <v>4</v>
      </c>
      <c r="T12" s="21">
        <v>4</v>
      </c>
      <c r="U12" s="47">
        <v>4</v>
      </c>
      <c r="V12" s="21">
        <v>4</v>
      </c>
      <c r="W12" s="47">
        <v>4</v>
      </c>
      <c r="X12" s="21">
        <v>4</v>
      </c>
      <c r="Y12" s="23">
        <v>0</v>
      </c>
      <c r="Z12" s="21">
        <v>4</v>
      </c>
      <c r="AA12" s="23"/>
      <c r="AB12" s="21">
        <v>4</v>
      </c>
      <c r="AC12" s="23"/>
      <c r="AD12" s="21">
        <v>4</v>
      </c>
      <c r="AE12" s="23"/>
      <c r="AF12" s="59">
        <f t="shared" si="0"/>
        <v>0.5</v>
      </c>
    </row>
    <row r="13" spans="1:32">
      <c r="A13" s="11">
        <v>9</v>
      </c>
      <c r="B13" s="20">
        <v>1463</v>
      </c>
      <c r="C13" s="19" t="s">
        <v>82</v>
      </c>
      <c r="D13" s="19" t="s">
        <v>83</v>
      </c>
      <c r="E13" s="19" t="s">
        <v>75</v>
      </c>
      <c r="F13" s="20" t="s">
        <v>77</v>
      </c>
      <c r="G13" s="26" t="b">
        <v>1</v>
      </c>
      <c r="H13" s="21">
        <v>4</v>
      </c>
      <c r="I13" s="23">
        <v>0</v>
      </c>
      <c r="J13" s="21">
        <v>4</v>
      </c>
      <c r="K13" s="23">
        <v>4</v>
      </c>
      <c r="L13" s="21">
        <v>4</v>
      </c>
      <c r="M13" s="23">
        <v>4</v>
      </c>
      <c r="N13" s="21">
        <v>4</v>
      </c>
      <c r="O13" s="23">
        <v>4</v>
      </c>
      <c r="P13" s="21">
        <v>4</v>
      </c>
      <c r="Q13" s="23">
        <v>4</v>
      </c>
      <c r="R13" s="21">
        <v>4</v>
      </c>
      <c r="S13" s="23">
        <v>4</v>
      </c>
      <c r="T13" s="21">
        <v>4</v>
      </c>
      <c r="U13" s="23">
        <v>4</v>
      </c>
      <c r="V13" s="21">
        <v>4</v>
      </c>
      <c r="W13" s="23">
        <v>4</v>
      </c>
      <c r="X13" s="21">
        <v>4</v>
      </c>
      <c r="Y13" s="23">
        <v>0</v>
      </c>
      <c r="Z13" s="21">
        <v>4</v>
      </c>
      <c r="AA13" s="23"/>
      <c r="AB13" s="21">
        <v>4</v>
      </c>
      <c r="AC13" s="23"/>
      <c r="AD13" s="21">
        <v>4</v>
      </c>
      <c r="AE13" s="23"/>
      <c r="AF13" s="59">
        <f t="shared" si="0"/>
        <v>0.58333333333333337</v>
      </c>
    </row>
    <row r="14" spans="1:32">
      <c r="A14" s="11">
        <v>10</v>
      </c>
      <c r="B14" s="20">
        <v>12579</v>
      </c>
      <c r="C14" s="19" t="s">
        <v>84</v>
      </c>
      <c r="D14" s="19" t="s">
        <v>85</v>
      </c>
      <c r="E14" s="19" t="s">
        <v>54</v>
      </c>
      <c r="F14" s="20" t="s">
        <v>86</v>
      </c>
      <c r="G14" s="26" t="b">
        <v>1</v>
      </c>
      <c r="H14" s="21">
        <v>4</v>
      </c>
      <c r="I14" s="23">
        <v>1</v>
      </c>
      <c r="J14" s="21">
        <v>4</v>
      </c>
      <c r="K14" s="23">
        <v>4</v>
      </c>
      <c r="L14" s="21">
        <v>4</v>
      </c>
      <c r="M14" s="23">
        <v>1</v>
      </c>
      <c r="N14" s="21">
        <v>4</v>
      </c>
      <c r="O14" s="23">
        <v>0</v>
      </c>
      <c r="P14" s="21">
        <v>4</v>
      </c>
      <c r="Q14" s="23">
        <v>4</v>
      </c>
      <c r="R14" s="21">
        <v>4</v>
      </c>
      <c r="S14" s="23">
        <v>4</v>
      </c>
      <c r="T14" s="21">
        <v>4</v>
      </c>
      <c r="U14" s="23">
        <v>1</v>
      </c>
      <c r="V14" s="21">
        <v>4</v>
      </c>
      <c r="W14" s="23">
        <v>4</v>
      </c>
      <c r="X14" s="21">
        <v>4</v>
      </c>
      <c r="Y14" s="23">
        <v>0</v>
      </c>
      <c r="Z14" s="21">
        <v>4</v>
      </c>
      <c r="AA14" s="23"/>
      <c r="AB14" s="21">
        <v>4</v>
      </c>
      <c r="AC14" s="23"/>
      <c r="AD14" s="21">
        <v>4</v>
      </c>
      <c r="AE14" s="23"/>
      <c r="AF14" s="59">
        <f t="shared" si="0"/>
        <v>0.39583333333333331</v>
      </c>
    </row>
    <row r="15" spans="1:32" ht="12" hidden="1" customHeight="1">
      <c r="A15" s="11">
        <v>12</v>
      </c>
      <c r="B15" s="20">
        <v>5645</v>
      </c>
      <c r="C15" s="19" t="s">
        <v>87</v>
      </c>
      <c r="D15" s="19" t="s">
        <v>88</v>
      </c>
      <c r="E15" s="19" t="s">
        <v>88</v>
      </c>
      <c r="F15" s="20" t="s">
        <v>89</v>
      </c>
      <c r="G15" s="26" t="b">
        <v>0</v>
      </c>
      <c r="H15" s="2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61">
        <v>0</v>
      </c>
      <c r="P15" s="61">
        <v>0</v>
      </c>
      <c r="Q15" s="61">
        <v>0</v>
      </c>
      <c r="R15" s="61">
        <v>0</v>
      </c>
      <c r="S15" s="61">
        <v>0</v>
      </c>
      <c r="T15" s="61">
        <v>0</v>
      </c>
      <c r="U15" s="61">
        <v>0</v>
      </c>
      <c r="V15" s="61">
        <v>0</v>
      </c>
      <c r="W15" s="61">
        <v>0</v>
      </c>
      <c r="X15" s="61">
        <v>0</v>
      </c>
      <c r="Y15" s="47"/>
      <c r="Z15" s="61">
        <v>0</v>
      </c>
      <c r="AA15" s="61"/>
      <c r="AB15" s="61">
        <v>0</v>
      </c>
      <c r="AC15" s="61"/>
      <c r="AD15" s="61">
        <v>0</v>
      </c>
      <c r="AE15" s="61"/>
      <c r="AF15" s="38">
        <f t="shared" si="0"/>
        <v>0</v>
      </c>
    </row>
    <row r="16" spans="1:32">
      <c r="A16" s="11">
        <v>11</v>
      </c>
      <c r="B16" s="20">
        <v>10626</v>
      </c>
      <c r="C16" s="19" t="s">
        <v>90</v>
      </c>
      <c r="D16" s="19" t="s">
        <v>91</v>
      </c>
      <c r="E16" s="19" t="s">
        <v>92</v>
      </c>
      <c r="F16" s="20" t="s">
        <v>72</v>
      </c>
      <c r="G16" s="26" t="b">
        <v>1</v>
      </c>
      <c r="H16" s="21">
        <v>4</v>
      </c>
      <c r="I16" s="23">
        <v>0</v>
      </c>
      <c r="J16" s="21">
        <v>4</v>
      </c>
      <c r="K16" s="23">
        <v>4</v>
      </c>
      <c r="L16" s="21">
        <v>4</v>
      </c>
      <c r="M16" s="23">
        <v>4</v>
      </c>
      <c r="N16" s="21">
        <v>4</v>
      </c>
      <c r="O16" s="23">
        <v>4</v>
      </c>
      <c r="P16" s="21">
        <v>4</v>
      </c>
      <c r="Q16" s="23">
        <v>0</v>
      </c>
      <c r="R16" s="21">
        <v>4</v>
      </c>
      <c r="S16" s="23">
        <v>4</v>
      </c>
      <c r="T16" s="21">
        <v>4</v>
      </c>
      <c r="U16" s="23">
        <v>0</v>
      </c>
      <c r="V16" s="21">
        <v>4</v>
      </c>
      <c r="W16" s="23">
        <v>4</v>
      </c>
      <c r="X16" s="21">
        <v>4</v>
      </c>
      <c r="Y16" s="47">
        <v>0</v>
      </c>
      <c r="Z16" s="21">
        <v>4</v>
      </c>
      <c r="AA16" s="23"/>
      <c r="AB16" s="21">
        <v>4</v>
      </c>
      <c r="AC16" s="23"/>
      <c r="AD16" s="21">
        <v>4</v>
      </c>
      <c r="AE16" s="23"/>
      <c r="AF16" s="59">
        <f t="shared" si="0"/>
        <v>0.41666666666666669</v>
      </c>
    </row>
    <row r="17" spans="1:32">
      <c r="A17" s="11">
        <v>12</v>
      </c>
      <c r="B17" s="20">
        <v>1461</v>
      </c>
      <c r="C17" s="19" t="s">
        <v>93</v>
      </c>
      <c r="D17" s="19" t="s">
        <v>94</v>
      </c>
      <c r="E17" s="19" t="s">
        <v>58</v>
      </c>
      <c r="F17" s="20" t="s">
        <v>59</v>
      </c>
      <c r="G17" s="26" t="b">
        <v>1</v>
      </c>
      <c r="H17" s="21">
        <v>4</v>
      </c>
      <c r="I17" s="23">
        <v>0</v>
      </c>
      <c r="J17" s="21">
        <v>4</v>
      </c>
      <c r="K17" s="23">
        <v>4</v>
      </c>
      <c r="L17" s="21">
        <v>4</v>
      </c>
      <c r="M17" s="23">
        <v>4</v>
      </c>
      <c r="N17" s="21">
        <v>4</v>
      </c>
      <c r="O17" s="23">
        <v>9</v>
      </c>
      <c r="P17" s="21">
        <v>4</v>
      </c>
      <c r="Q17" s="23">
        <v>6</v>
      </c>
      <c r="R17" s="21">
        <v>4</v>
      </c>
      <c r="S17" s="23">
        <v>6</v>
      </c>
      <c r="T17" s="21">
        <v>4</v>
      </c>
      <c r="U17" s="47">
        <v>4</v>
      </c>
      <c r="V17" s="21">
        <v>4</v>
      </c>
      <c r="W17" s="47">
        <v>4</v>
      </c>
      <c r="X17" s="21">
        <v>4</v>
      </c>
      <c r="Y17" s="23">
        <v>2</v>
      </c>
      <c r="Z17" s="21">
        <v>4</v>
      </c>
      <c r="AA17" s="23"/>
      <c r="AB17" s="21">
        <v>4</v>
      </c>
      <c r="AC17" s="23"/>
      <c r="AD17" s="21">
        <v>4</v>
      </c>
      <c r="AE17" s="23"/>
      <c r="AF17" s="60">
        <f t="shared" si="0"/>
        <v>0.8125</v>
      </c>
    </row>
    <row r="18" spans="1:32">
      <c r="A18" s="11">
        <v>13</v>
      </c>
      <c r="B18" s="20">
        <v>12921</v>
      </c>
      <c r="C18" s="19" t="s">
        <v>95</v>
      </c>
      <c r="D18" s="19" t="s">
        <v>96</v>
      </c>
      <c r="E18" s="19" t="s">
        <v>97</v>
      </c>
      <c r="F18" s="20" t="s">
        <v>98</v>
      </c>
      <c r="G18" s="26" t="b">
        <v>1</v>
      </c>
      <c r="H18" s="21">
        <v>4</v>
      </c>
      <c r="I18" s="23">
        <v>4</v>
      </c>
      <c r="J18" s="21">
        <v>4</v>
      </c>
      <c r="K18" s="23">
        <v>5</v>
      </c>
      <c r="L18" s="21">
        <v>4</v>
      </c>
      <c r="M18" s="23">
        <v>4</v>
      </c>
      <c r="N18" s="21">
        <v>4</v>
      </c>
      <c r="O18" s="23">
        <v>4</v>
      </c>
      <c r="P18" s="21">
        <v>4</v>
      </c>
      <c r="Q18" s="23">
        <v>4</v>
      </c>
      <c r="R18" s="21">
        <v>4</v>
      </c>
      <c r="S18" s="47">
        <v>4</v>
      </c>
      <c r="T18" s="21">
        <v>4</v>
      </c>
      <c r="U18" s="47">
        <v>5</v>
      </c>
      <c r="V18" s="21">
        <v>4</v>
      </c>
      <c r="W18" s="47">
        <v>4</v>
      </c>
      <c r="X18" s="21">
        <v>4</v>
      </c>
      <c r="Y18" s="47">
        <v>0</v>
      </c>
      <c r="Z18" s="21">
        <v>4</v>
      </c>
      <c r="AA18" s="23"/>
      <c r="AB18" s="21">
        <v>4</v>
      </c>
      <c r="AC18" s="23"/>
      <c r="AD18" s="21">
        <v>4</v>
      </c>
      <c r="AE18" s="23"/>
      <c r="AF18" s="59">
        <f t="shared" si="0"/>
        <v>0.70833333333333337</v>
      </c>
    </row>
    <row r="19" spans="1:32">
      <c r="A19" s="11">
        <v>14</v>
      </c>
      <c r="B19" s="20">
        <v>10434</v>
      </c>
      <c r="C19" s="19" t="s">
        <v>99</v>
      </c>
      <c r="D19" s="19" t="s">
        <v>100</v>
      </c>
      <c r="E19" s="19" t="s">
        <v>80</v>
      </c>
      <c r="F19" s="20" t="s">
        <v>72</v>
      </c>
      <c r="G19" s="26" t="b">
        <v>1</v>
      </c>
      <c r="H19" s="21">
        <v>4</v>
      </c>
      <c r="I19" s="23">
        <v>0</v>
      </c>
      <c r="J19" s="21">
        <v>4</v>
      </c>
      <c r="K19" s="23">
        <v>4</v>
      </c>
      <c r="L19" s="21">
        <v>4</v>
      </c>
      <c r="M19" s="23">
        <v>4</v>
      </c>
      <c r="N19" s="21">
        <v>4</v>
      </c>
      <c r="O19" s="23">
        <v>4</v>
      </c>
      <c r="P19" s="21">
        <v>4</v>
      </c>
      <c r="Q19" s="23">
        <v>4</v>
      </c>
      <c r="R19" s="21">
        <v>4</v>
      </c>
      <c r="S19" s="47">
        <v>4</v>
      </c>
      <c r="T19" s="21">
        <v>4</v>
      </c>
      <c r="U19" s="23">
        <v>4</v>
      </c>
      <c r="V19" s="21">
        <v>4</v>
      </c>
      <c r="W19" s="23">
        <v>4</v>
      </c>
      <c r="X19" s="21">
        <v>4</v>
      </c>
      <c r="Y19" s="23">
        <v>0</v>
      </c>
      <c r="Z19" s="21">
        <v>4</v>
      </c>
      <c r="AA19" s="23"/>
      <c r="AB19" s="21">
        <v>4</v>
      </c>
      <c r="AC19" s="23"/>
      <c r="AD19" s="21">
        <v>4</v>
      </c>
      <c r="AE19" s="23"/>
      <c r="AF19" s="59">
        <f t="shared" si="0"/>
        <v>0.58333333333333337</v>
      </c>
    </row>
    <row r="20" spans="1:32">
      <c r="A20" s="11">
        <v>15</v>
      </c>
      <c r="B20" s="20">
        <v>12884</v>
      </c>
      <c r="C20" s="19" t="s">
        <v>101</v>
      </c>
      <c r="D20" s="19" t="s">
        <v>102</v>
      </c>
      <c r="E20" s="19" t="s">
        <v>65</v>
      </c>
      <c r="F20" s="20" t="s">
        <v>103</v>
      </c>
      <c r="G20" s="26" t="b">
        <v>1</v>
      </c>
      <c r="H20" s="21">
        <v>4</v>
      </c>
      <c r="I20" s="23">
        <v>0</v>
      </c>
      <c r="J20" s="21">
        <v>4</v>
      </c>
      <c r="K20" s="23">
        <v>4</v>
      </c>
      <c r="L20" s="21">
        <v>4</v>
      </c>
      <c r="M20" s="23">
        <v>4</v>
      </c>
      <c r="N20" s="21">
        <v>4</v>
      </c>
      <c r="O20" s="23">
        <v>4</v>
      </c>
      <c r="P20" s="21">
        <v>4</v>
      </c>
      <c r="Q20" s="23">
        <v>0</v>
      </c>
      <c r="R20" s="21">
        <v>4</v>
      </c>
      <c r="S20" s="23">
        <v>6</v>
      </c>
      <c r="T20" s="21">
        <v>4</v>
      </c>
      <c r="U20" s="47">
        <v>3</v>
      </c>
      <c r="V20" s="21">
        <v>4</v>
      </c>
      <c r="W20" s="47">
        <v>4</v>
      </c>
      <c r="X20" s="21">
        <v>4</v>
      </c>
      <c r="Y20" s="23">
        <v>0</v>
      </c>
      <c r="Z20" s="21">
        <v>4</v>
      </c>
      <c r="AA20" s="23"/>
      <c r="AB20" s="21">
        <v>4</v>
      </c>
      <c r="AC20" s="23"/>
      <c r="AD20" s="21">
        <v>4</v>
      </c>
      <c r="AE20" s="23"/>
      <c r="AF20" s="59">
        <f t="shared" si="0"/>
        <v>0.52083333333333337</v>
      </c>
    </row>
    <row r="21" spans="1:32">
      <c r="A21" s="11">
        <v>16</v>
      </c>
      <c r="B21" s="20">
        <v>12106</v>
      </c>
      <c r="C21" s="19" t="s">
        <v>104</v>
      </c>
      <c r="D21" s="19" t="s">
        <v>105</v>
      </c>
      <c r="E21" s="19" t="s">
        <v>106</v>
      </c>
      <c r="F21" s="20" t="s">
        <v>107</v>
      </c>
      <c r="G21" s="26" t="b">
        <v>1</v>
      </c>
      <c r="H21" s="21">
        <v>4</v>
      </c>
      <c r="I21" s="23">
        <v>0</v>
      </c>
      <c r="J21" s="21">
        <v>4</v>
      </c>
      <c r="K21" s="23">
        <v>4</v>
      </c>
      <c r="L21" s="21">
        <v>4</v>
      </c>
      <c r="M21" s="23">
        <v>4</v>
      </c>
      <c r="N21" s="21">
        <v>4</v>
      </c>
      <c r="O21" s="23">
        <v>4</v>
      </c>
      <c r="P21" s="21">
        <v>4</v>
      </c>
      <c r="Q21" s="23">
        <v>4</v>
      </c>
      <c r="R21" s="21">
        <v>4</v>
      </c>
      <c r="S21" s="47">
        <v>4</v>
      </c>
      <c r="T21" s="21">
        <v>4</v>
      </c>
      <c r="U21" s="23">
        <v>5</v>
      </c>
      <c r="V21" s="21">
        <v>4</v>
      </c>
      <c r="W21" s="23">
        <v>4</v>
      </c>
      <c r="X21" s="21">
        <v>4</v>
      </c>
      <c r="Y21" s="47">
        <v>1</v>
      </c>
      <c r="Z21" s="21">
        <v>4</v>
      </c>
      <c r="AA21" s="23"/>
      <c r="AB21" s="21">
        <v>4</v>
      </c>
      <c r="AC21" s="23"/>
      <c r="AD21" s="21">
        <v>4</v>
      </c>
      <c r="AE21" s="23"/>
      <c r="AF21" s="59">
        <f>SUM(I21,K21,AE21,AC21,AA21,Y21,W21,U21,S21,Q21,O21,M21)/(12*4)</f>
        <v>0.625</v>
      </c>
    </row>
    <row r="22" spans="1:32">
      <c r="A22" s="11">
        <v>17</v>
      </c>
      <c r="B22" s="20">
        <v>12572</v>
      </c>
      <c r="C22" s="19" t="s">
        <v>108</v>
      </c>
      <c r="D22" s="19" t="s">
        <v>79</v>
      </c>
      <c r="E22" s="19" t="s">
        <v>80</v>
      </c>
      <c r="F22" s="20" t="s">
        <v>109</v>
      </c>
      <c r="G22" s="26" t="b">
        <v>1</v>
      </c>
      <c r="H22" s="21">
        <v>4</v>
      </c>
      <c r="I22" s="23">
        <v>0</v>
      </c>
      <c r="J22" s="21">
        <v>4</v>
      </c>
      <c r="K22" s="23">
        <v>4</v>
      </c>
      <c r="L22" s="21">
        <v>4</v>
      </c>
      <c r="M22" s="23">
        <v>4</v>
      </c>
      <c r="N22" s="21">
        <v>4</v>
      </c>
      <c r="O22" s="23">
        <v>4</v>
      </c>
      <c r="P22" s="21">
        <v>4</v>
      </c>
      <c r="Q22" s="23">
        <v>0</v>
      </c>
      <c r="R22" s="21">
        <v>4</v>
      </c>
      <c r="S22" s="23">
        <v>4</v>
      </c>
      <c r="T22" s="21">
        <v>4</v>
      </c>
      <c r="U22" s="23">
        <v>0</v>
      </c>
      <c r="V22" s="21">
        <v>4</v>
      </c>
      <c r="W22" s="23">
        <v>4</v>
      </c>
      <c r="X22" s="21">
        <v>4</v>
      </c>
      <c r="Y22" s="47">
        <v>0</v>
      </c>
      <c r="Z22" s="21">
        <v>4</v>
      </c>
      <c r="AA22" s="23"/>
      <c r="AB22" s="21">
        <v>4</v>
      </c>
      <c r="AC22" s="23"/>
      <c r="AD22" s="21">
        <v>4</v>
      </c>
      <c r="AE22" s="23"/>
      <c r="AF22" s="59">
        <f t="shared" si="0"/>
        <v>0.41666666666666669</v>
      </c>
    </row>
    <row r="23" spans="1:32" ht="12" hidden="1" customHeight="1">
      <c r="A23" s="11">
        <v>20</v>
      </c>
      <c r="B23" s="28">
        <v>12925</v>
      </c>
      <c r="C23" s="19" t="s">
        <v>110</v>
      </c>
      <c r="D23" s="19" t="s">
        <v>111</v>
      </c>
      <c r="E23" s="19" t="s">
        <v>97</v>
      </c>
      <c r="F23" s="20" t="s">
        <v>98</v>
      </c>
      <c r="G23" s="26" t="b">
        <v>0</v>
      </c>
      <c r="H23" s="21">
        <v>4</v>
      </c>
      <c r="I23" s="23">
        <v>3</v>
      </c>
      <c r="J23" s="21">
        <v>4</v>
      </c>
      <c r="K23" s="23">
        <v>4</v>
      </c>
      <c r="L23" s="21">
        <v>4</v>
      </c>
      <c r="M23" s="23">
        <v>4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61">
        <v>0</v>
      </c>
      <c r="Y23" s="23"/>
      <c r="Z23" s="61">
        <v>0</v>
      </c>
      <c r="AA23" s="61"/>
      <c r="AB23" s="61">
        <v>0</v>
      </c>
      <c r="AC23" s="61"/>
      <c r="AD23" s="61">
        <v>0</v>
      </c>
      <c r="AE23" s="61"/>
      <c r="AF23" s="38">
        <f t="shared" si="0"/>
        <v>0.22916666666666666</v>
      </c>
    </row>
    <row r="24" spans="1:32">
      <c r="A24" s="11">
        <v>18</v>
      </c>
      <c r="B24" s="28">
        <v>12746</v>
      </c>
      <c r="C24" s="19" t="s">
        <v>112</v>
      </c>
      <c r="D24" s="19" t="s">
        <v>113</v>
      </c>
      <c r="E24" s="19" t="s">
        <v>54</v>
      </c>
      <c r="F24" s="20" t="s">
        <v>114</v>
      </c>
      <c r="G24" s="26" t="b">
        <v>1</v>
      </c>
      <c r="H24" s="21">
        <v>4</v>
      </c>
      <c r="I24" s="23">
        <v>0</v>
      </c>
      <c r="J24" s="21">
        <v>4</v>
      </c>
      <c r="K24" s="23">
        <v>0</v>
      </c>
      <c r="L24" s="21">
        <v>4</v>
      </c>
      <c r="M24" s="23">
        <v>4</v>
      </c>
      <c r="N24" s="21">
        <v>4</v>
      </c>
      <c r="O24" s="23">
        <v>4</v>
      </c>
      <c r="P24" s="21">
        <v>4</v>
      </c>
      <c r="Q24" s="23">
        <v>0</v>
      </c>
      <c r="R24" s="21">
        <v>4</v>
      </c>
      <c r="S24" s="23">
        <v>4</v>
      </c>
      <c r="T24" s="21">
        <v>4</v>
      </c>
      <c r="U24" s="47">
        <v>0</v>
      </c>
      <c r="V24" s="21">
        <v>4</v>
      </c>
      <c r="W24" s="47">
        <v>4</v>
      </c>
      <c r="X24" s="21">
        <v>4</v>
      </c>
      <c r="Y24" s="23">
        <v>0</v>
      </c>
      <c r="Z24" s="21">
        <v>4</v>
      </c>
      <c r="AA24" s="23"/>
      <c r="AB24" s="21">
        <v>4</v>
      </c>
      <c r="AC24" s="23"/>
      <c r="AD24" s="21">
        <v>4</v>
      </c>
      <c r="AE24" s="23"/>
      <c r="AF24" s="59">
        <f t="shared" si="0"/>
        <v>0.33333333333333331</v>
      </c>
    </row>
    <row r="25" spans="1:32">
      <c r="A25" s="11">
        <v>19</v>
      </c>
      <c r="B25" s="20">
        <v>12769</v>
      </c>
      <c r="C25" s="19" t="s">
        <v>115</v>
      </c>
      <c r="D25" s="19" t="s">
        <v>116</v>
      </c>
      <c r="E25" s="19" t="s">
        <v>117</v>
      </c>
      <c r="F25" s="20" t="s">
        <v>62</v>
      </c>
      <c r="G25" s="26" t="b">
        <v>1</v>
      </c>
      <c r="H25" s="21">
        <v>4</v>
      </c>
      <c r="I25" s="23">
        <v>4</v>
      </c>
      <c r="J25" s="21">
        <v>4</v>
      </c>
      <c r="K25" s="23">
        <v>4</v>
      </c>
      <c r="L25" s="21">
        <v>4</v>
      </c>
      <c r="M25" s="23">
        <v>4</v>
      </c>
      <c r="N25" s="21">
        <v>4</v>
      </c>
      <c r="O25" s="23">
        <v>4</v>
      </c>
      <c r="P25" s="21">
        <v>4</v>
      </c>
      <c r="Q25" s="23">
        <v>4</v>
      </c>
      <c r="R25" s="21">
        <v>4</v>
      </c>
      <c r="S25" s="23">
        <v>5</v>
      </c>
      <c r="T25" s="21">
        <v>4</v>
      </c>
      <c r="U25" s="47">
        <v>4</v>
      </c>
      <c r="V25" s="21">
        <v>4</v>
      </c>
      <c r="W25" s="47">
        <v>4</v>
      </c>
      <c r="X25" s="21">
        <v>4</v>
      </c>
      <c r="Y25" s="47">
        <v>0</v>
      </c>
      <c r="Z25" s="21">
        <v>4</v>
      </c>
      <c r="AA25" s="23"/>
      <c r="AB25" s="21">
        <v>4</v>
      </c>
      <c r="AC25" s="23"/>
      <c r="AD25" s="21">
        <v>4</v>
      </c>
      <c r="AE25" s="23"/>
      <c r="AF25" s="60">
        <f t="shared" si="0"/>
        <v>0.6875</v>
      </c>
    </row>
    <row r="26" spans="1:32">
      <c r="A26" s="11">
        <v>20</v>
      </c>
      <c r="B26" s="20">
        <v>12848</v>
      </c>
      <c r="C26" s="19" t="s">
        <v>118</v>
      </c>
      <c r="D26" s="19" t="s">
        <v>116</v>
      </c>
      <c r="E26" s="19" t="s">
        <v>119</v>
      </c>
      <c r="F26" s="20" t="s">
        <v>62</v>
      </c>
      <c r="G26" s="26" t="b">
        <v>1</v>
      </c>
      <c r="H26" s="21">
        <v>4</v>
      </c>
      <c r="I26" s="23">
        <v>0</v>
      </c>
      <c r="J26" s="21">
        <v>4</v>
      </c>
      <c r="K26" s="23">
        <v>4</v>
      </c>
      <c r="L26" s="21">
        <v>4</v>
      </c>
      <c r="M26" s="23">
        <v>0</v>
      </c>
      <c r="N26" s="21">
        <v>4</v>
      </c>
      <c r="O26" s="23">
        <v>4</v>
      </c>
      <c r="P26" s="21">
        <v>4</v>
      </c>
      <c r="Q26" s="23">
        <v>4</v>
      </c>
      <c r="R26" s="21">
        <v>4</v>
      </c>
      <c r="S26" s="47">
        <v>0</v>
      </c>
      <c r="T26" s="21">
        <v>4</v>
      </c>
      <c r="U26" s="23">
        <v>0</v>
      </c>
      <c r="V26" s="21">
        <v>4</v>
      </c>
      <c r="W26" s="23">
        <v>0</v>
      </c>
      <c r="X26" s="21">
        <v>4</v>
      </c>
      <c r="Y26" s="23">
        <v>0</v>
      </c>
      <c r="Z26" s="21">
        <v>4</v>
      </c>
      <c r="AA26" s="23"/>
      <c r="AB26" s="21">
        <v>4</v>
      </c>
      <c r="AC26" s="23"/>
      <c r="AD26" s="21">
        <v>4</v>
      </c>
      <c r="AE26" s="23"/>
      <c r="AF26" s="59">
        <f t="shared" si="0"/>
        <v>0.25</v>
      </c>
    </row>
    <row r="27" spans="1:32">
      <c r="A27" s="11">
        <v>21</v>
      </c>
      <c r="B27" s="20">
        <v>12364</v>
      </c>
      <c r="C27" s="19" t="s">
        <v>120</v>
      </c>
      <c r="D27" s="19" t="s">
        <v>121</v>
      </c>
      <c r="E27" s="19" t="s">
        <v>106</v>
      </c>
      <c r="F27" s="20" t="s">
        <v>72</v>
      </c>
      <c r="G27" s="26" t="b">
        <v>1</v>
      </c>
      <c r="H27" s="21">
        <v>4</v>
      </c>
      <c r="I27" s="23">
        <v>0</v>
      </c>
      <c r="J27" s="21">
        <v>4</v>
      </c>
      <c r="K27" s="23">
        <v>4</v>
      </c>
      <c r="L27" s="21">
        <v>4</v>
      </c>
      <c r="M27" s="23">
        <v>4</v>
      </c>
      <c r="N27" s="21">
        <v>4</v>
      </c>
      <c r="O27" s="23">
        <v>4</v>
      </c>
      <c r="P27" s="21">
        <v>4</v>
      </c>
      <c r="Q27" s="23">
        <v>4</v>
      </c>
      <c r="R27" s="21">
        <v>4</v>
      </c>
      <c r="S27" s="47">
        <v>1</v>
      </c>
      <c r="T27" s="21">
        <v>4</v>
      </c>
      <c r="U27" s="23">
        <v>5</v>
      </c>
      <c r="V27" s="21">
        <v>4</v>
      </c>
      <c r="W27" s="23">
        <v>4</v>
      </c>
      <c r="X27" s="21">
        <v>4</v>
      </c>
      <c r="Y27" s="47">
        <v>0</v>
      </c>
      <c r="Z27" s="21">
        <v>4</v>
      </c>
      <c r="AA27" s="23"/>
      <c r="AB27" s="21">
        <v>4</v>
      </c>
      <c r="AC27" s="23"/>
      <c r="AD27" s="21">
        <v>4</v>
      </c>
      <c r="AE27" s="23"/>
      <c r="AF27" s="59">
        <f t="shared" si="0"/>
        <v>0.54166666666666663</v>
      </c>
    </row>
    <row r="28" spans="1:32">
      <c r="A28" s="11">
        <v>22</v>
      </c>
      <c r="B28" s="20">
        <v>12367</v>
      </c>
      <c r="C28" s="19" t="s">
        <v>122</v>
      </c>
      <c r="D28" s="19" t="s">
        <v>79</v>
      </c>
      <c r="E28" s="19" t="s">
        <v>58</v>
      </c>
      <c r="F28" s="20" t="s">
        <v>59</v>
      </c>
      <c r="G28" s="26" t="b">
        <v>1</v>
      </c>
      <c r="H28" s="21">
        <v>4</v>
      </c>
      <c r="I28" s="23">
        <v>2</v>
      </c>
      <c r="J28" s="21">
        <v>4</v>
      </c>
      <c r="K28" s="23">
        <v>4</v>
      </c>
      <c r="L28" s="21">
        <v>4</v>
      </c>
      <c r="M28" s="23">
        <v>4</v>
      </c>
      <c r="N28" s="21">
        <v>4</v>
      </c>
      <c r="O28" s="23">
        <v>4</v>
      </c>
      <c r="P28" s="21">
        <v>4</v>
      </c>
      <c r="Q28" s="23">
        <v>4</v>
      </c>
      <c r="R28" s="21">
        <v>4</v>
      </c>
      <c r="S28" s="23">
        <v>5</v>
      </c>
      <c r="T28" s="21">
        <v>4</v>
      </c>
      <c r="U28" s="47">
        <v>6</v>
      </c>
      <c r="V28" s="21">
        <v>4</v>
      </c>
      <c r="W28" s="47">
        <v>4</v>
      </c>
      <c r="X28" s="21">
        <v>4</v>
      </c>
      <c r="Y28" s="47">
        <v>2</v>
      </c>
      <c r="Z28" s="21">
        <v>4</v>
      </c>
      <c r="AA28" s="23"/>
      <c r="AB28" s="21">
        <v>4</v>
      </c>
      <c r="AC28" s="23"/>
      <c r="AD28" s="21">
        <v>4</v>
      </c>
      <c r="AE28" s="23"/>
      <c r="AF28" s="60">
        <f t="shared" si="0"/>
        <v>0.72916666666666663</v>
      </c>
    </row>
    <row r="29" spans="1:32">
      <c r="A29" s="11">
        <v>23</v>
      </c>
      <c r="B29" s="20">
        <v>10661</v>
      </c>
      <c r="C29" s="19" t="s">
        <v>123</v>
      </c>
      <c r="D29" s="19" t="s">
        <v>79</v>
      </c>
      <c r="E29" s="19" t="s">
        <v>58</v>
      </c>
      <c r="F29" s="20" t="s">
        <v>59</v>
      </c>
      <c r="G29" s="26" t="b">
        <v>1</v>
      </c>
      <c r="H29" s="21">
        <v>4</v>
      </c>
      <c r="I29" s="23">
        <v>0</v>
      </c>
      <c r="J29" s="21">
        <v>4</v>
      </c>
      <c r="K29" s="23">
        <v>4</v>
      </c>
      <c r="L29" s="21">
        <v>4</v>
      </c>
      <c r="M29" s="23">
        <v>4</v>
      </c>
      <c r="N29" s="21">
        <v>4</v>
      </c>
      <c r="O29" s="23">
        <v>4</v>
      </c>
      <c r="P29" s="21">
        <v>4</v>
      </c>
      <c r="Q29" s="23">
        <v>4</v>
      </c>
      <c r="R29" s="21">
        <v>4</v>
      </c>
      <c r="S29" s="23">
        <v>4</v>
      </c>
      <c r="T29" s="21">
        <v>4</v>
      </c>
      <c r="U29" s="23">
        <v>4</v>
      </c>
      <c r="V29" s="21">
        <v>4</v>
      </c>
      <c r="W29" s="23">
        <v>5</v>
      </c>
      <c r="X29" s="21">
        <v>4</v>
      </c>
      <c r="Y29" s="47">
        <v>2</v>
      </c>
      <c r="Z29" s="21">
        <v>4</v>
      </c>
      <c r="AA29" s="23"/>
      <c r="AB29" s="21">
        <v>4</v>
      </c>
      <c r="AC29" s="23"/>
      <c r="AD29" s="21">
        <v>4</v>
      </c>
      <c r="AE29" s="23"/>
      <c r="AF29" s="59">
        <f t="shared" si="0"/>
        <v>0.64583333333333337</v>
      </c>
    </row>
    <row r="30" spans="1:32">
      <c r="A30" s="11">
        <v>24</v>
      </c>
      <c r="B30" s="20">
        <v>10082</v>
      </c>
      <c r="C30" s="19" t="s">
        <v>124</v>
      </c>
      <c r="D30" s="19" t="s">
        <v>125</v>
      </c>
      <c r="E30" s="19" t="s">
        <v>97</v>
      </c>
      <c r="F30" s="20" t="s">
        <v>98</v>
      </c>
      <c r="G30" s="26" t="b">
        <v>1</v>
      </c>
      <c r="H30" s="21">
        <v>4</v>
      </c>
      <c r="I30" s="23">
        <v>4</v>
      </c>
      <c r="J30" s="21">
        <v>4</v>
      </c>
      <c r="K30" s="23">
        <v>4</v>
      </c>
      <c r="L30" s="21">
        <v>4</v>
      </c>
      <c r="M30" s="23">
        <v>4</v>
      </c>
      <c r="N30" s="21">
        <v>4</v>
      </c>
      <c r="O30" s="23">
        <v>5</v>
      </c>
      <c r="P30" s="21">
        <v>4</v>
      </c>
      <c r="Q30" s="23">
        <v>4</v>
      </c>
      <c r="R30" s="21">
        <v>4</v>
      </c>
      <c r="S30" s="47">
        <v>5</v>
      </c>
      <c r="T30" s="21">
        <v>4</v>
      </c>
      <c r="U30" s="47">
        <v>4</v>
      </c>
      <c r="V30" s="21">
        <v>4</v>
      </c>
      <c r="W30" s="47">
        <v>4</v>
      </c>
      <c r="X30" s="21">
        <v>4</v>
      </c>
      <c r="Y30" s="23">
        <v>2</v>
      </c>
      <c r="Z30" s="21">
        <v>4</v>
      </c>
      <c r="AA30" s="23"/>
      <c r="AB30" s="21">
        <v>4</v>
      </c>
      <c r="AC30" s="23"/>
      <c r="AD30" s="21">
        <v>4</v>
      </c>
      <c r="AE30" s="23"/>
      <c r="AF30" s="60">
        <f t="shared" si="0"/>
        <v>0.75</v>
      </c>
    </row>
    <row r="31" spans="1:32" ht="12.6" customHeight="1">
      <c r="A31" s="11">
        <v>25</v>
      </c>
      <c r="B31" s="20">
        <v>12445</v>
      </c>
      <c r="C31" s="19" t="s">
        <v>126</v>
      </c>
      <c r="D31" s="19" t="s">
        <v>127</v>
      </c>
      <c r="E31" s="19" t="s">
        <v>97</v>
      </c>
      <c r="F31" s="20" t="s">
        <v>98</v>
      </c>
      <c r="G31" s="26" t="b">
        <v>1</v>
      </c>
      <c r="H31" s="21">
        <v>4</v>
      </c>
      <c r="I31" s="23">
        <v>4</v>
      </c>
      <c r="J31" s="21">
        <v>4</v>
      </c>
      <c r="K31" s="23">
        <v>4</v>
      </c>
      <c r="L31" s="21">
        <v>4</v>
      </c>
      <c r="M31" s="23">
        <v>5</v>
      </c>
      <c r="N31" s="21">
        <v>4</v>
      </c>
      <c r="O31" s="23">
        <v>4</v>
      </c>
      <c r="P31" s="21">
        <v>4</v>
      </c>
      <c r="Q31" s="23">
        <v>4</v>
      </c>
      <c r="R31" s="21">
        <v>4</v>
      </c>
      <c r="S31" s="23">
        <v>4</v>
      </c>
      <c r="T31" s="21">
        <v>4</v>
      </c>
      <c r="U31" s="47">
        <v>4</v>
      </c>
      <c r="V31" s="21">
        <v>4</v>
      </c>
      <c r="W31" s="47">
        <v>4</v>
      </c>
      <c r="X31" s="21">
        <v>4</v>
      </c>
      <c r="Y31" s="23">
        <v>2</v>
      </c>
      <c r="Z31" s="21">
        <v>4</v>
      </c>
      <c r="AA31" s="23"/>
      <c r="AB31" s="21">
        <v>4</v>
      </c>
      <c r="AC31" s="23"/>
      <c r="AD31" s="21">
        <v>4</v>
      </c>
      <c r="AE31" s="23"/>
      <c r="AF31" s="60">
        <f t="shared" si="0"/>
        <v>0.72916666666666663</v>
      </c>
    </row>
    <row r="32" spans="1:32">
      <c r="A32" s="11">
        <v>26</v>
      </c>
      <c r="B32" s="20">
        <v>12635</v>
      </c>
      <c r="C32" s="19" t="s">
        <v>128</v>
      </c>
      <c r="D32" s="19" t="s">
        <v>129</v>
      </c>
      <c r="E32" s="19" t="s">
        <v>65</v>
      </c>
      <c r="F32" s="20" t="s">
        <v>55</v>
      </c>
      <c r="G32" s="26" t="b">
        <v>1</v>
      </c>
      <c r="H32" s="21">
        <v>4</v>
      </c>
      <c r="I32" s="23">
        <v>4</v>
      </c>
      <c r="J32" s="21">
        <v>4</v>
      </c>
      <c r="K32" s="23">
        <v>4</v>
      </c>
      <c r="L32" s="21">
        <v>4</v>
      </c>
      <c r="M32" s="23">
        <v>4</v>
      </c>
      <c r="N32" s="21">
        <v>4</v>
      </c>
      <c r="O32" s="23">
        <v>4</v>
      </c>
      <c r="P32" s="21">
        <v>4</v>
      </c>
      <c r="Q32" s="23">
        <v>0</v>
      </c>
      <c r="R32" s="21">
        <v>4</v>
      </c>
      <c r="S32" s="47">
        <v>4</v>
      </c>
      <c r="T32" s="21">
        <v>4</v>
      </c>
      <c r="U32" s="47">
        <v>4</v>
      </c>
      <c r="V32" s="21">
        <v>4</v>
      </c>
      <c r="W32" s="47">
        <v>4</v>
      </c>
      <c r="X32" s="21">
        <v>4</v>
      </c>
      <c r="Y32" s="23">
        <v>0</v>
      </c>
      <c r="Z32" s="21">
        <v>4</v>
      </c>
      <c r="AA32" s="23"/>
      <c r="AB32" s="21">
        <v>4</v>
      </c>
      <c r="AC32" s="23"/>
      <c r="AD32" s="21">
        <v>4</v>
      </c>
      <c r="AE32" s="23"/>
      <c r="AF32" s="59">
        <f t="shared" si="0"/>
        <v>0.58333333333333337</v>
      </c>
    </row>
    <row r="33" spans="1:32">
      <c r="A33" s="11">
        <v>27</v>
      </c>
      <c r="B33" s="20">
        <v>12876</v>
      </c>
      <c r="C33" s="19" t="s">
        <v>130</v>
      </c>
      <c r="D33" s="19" t="s">
        <v>131</v>
      </c>
      <c r="E33" s="19" t="s">
        <v>132</v>
      </c>
      <c r="F33" s="20" t="s">
        <v>107</v>
      </c>
      <c r="G33" s="26" t="b">
        <v>1</v>
      </c>
      <c r="H33" s="21">
        <v>4</v>
      </c>
      <c r="I33" s="23">
        <v>0</v>
      </c>
      <c r="J33" s="21">
        <v>4</v>
      </c>
      <c r="K33" s="23">
        <v>0</v>
      </c>
      <c r="L33" s="21">
        <v>4</v>
      </c>
      <c r="M33" s="23">
        <v>4</v>
      </c>
      <c r="N33" s="21">
        <v>4</v>
      </c>
      <c r="O33" s="23">
        <v>4</v>
      </c>
      <c r="P33" s="21">
        <v>4</v>
      </c>
      <c r="Q33" s="23">
        <v>4</v>
      </c>
      <c r="R33" s="21">
        <v>4</v>
      </c>
      <c r="S33" s="47">
        <v>4</v>
      </c>
      <c r="T33" s="21">
        <v>4</v>
      </c>
      <c r="U33" s="23">
        <v>4</v>
      </c>
      <c r="V33" s="21">
        <v>4</v>
      </c>
      <c r="W33" s="23">
        <v>4</v>
      </c>
      <c r="X33" s="21">
        <v>4</v>
      </c>
      <c r="Y33" s="47">
        <v>0</v>
      </c>
      <c r="Z33" s="21">
        <v>4</v>
      </c>
      <c r="AA33" s="23"/>
      <c r="AB33" s="21">
        <v>4</v>
      </c>
      <c r="AC33" s="23"/>
      <c r="AD33" s="21">
        <v>4</v>
      </c>
      <c r="AE33" s="23"/>
      <c r="AF33" s="59">
        <f t="shared" si="0"/>
        <v>0.5</v>
      </c>
    </row>
    <row r="34" spans="1:32" ht="12" hidden="1" customHeight="1">
      <c r="A34" s="36">
        <v>31</v>
      </c>
      <c r="B34" s="20">
        <v>12934</v>
      </c>
      <c r="C34" s="19" t="s">
        <v>133</v>
      </c>
      <c r="D34" s="19"/>
      <c r="E34" s="19" t="s">
        <v>71</v>
      </c>
      <c r="F34" s="20">
        <v>6320</v>
      </c>
      <c r="G34" s="26" t="b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23">
        <v>0</v>
      </c>
      <c r="X34" s="21">
        <v>4</v>
      </c>
      <c r="Y34" s="47"/>
      <c r="Z34" s="21">
        <v>4</v>
      </c>
      <c r="AA34" s="23"/>
      <c r="AB34" s="21">
        <v>4</v>
      </c>
      <c r="AC34" s="23"/>
      <c r="AD34" s="21">
        <v>4</v>
      </c>
      <c r="AE34" s="23"/>
      <c r="AF34" s="38">
        <f t="shared" si="0"/>
        <v>0</v>
      </c>
    </row>
    <row r="35" spans="1:32">
      <c r="A35" s="11">
        <v>28</v>
      </c>
      <c r="B35" s="20">
        <v>10120</v>
      </c>
      <c r="C35" s="19" t="s">
        <v>134</v>
      </c>
      <c r="D35" s="19" t="s">
        <v>105</v>
      </c>
      <c r="E35" s="19" t="s">
        <v>135</v>
      </c>
      <c r="F35" s="20" t="s">
        <v>107</v>
      </c>
      <c r="G35" s="26" t="b">
        <v>1</v>
      </c>
      <c r="H35" s="21">
        <v>4</v>
      </c>
      <c r="I35" s="23">
        <v>0</v>
      </c>
      <c r="J35" s="21">
        <v>4</v>
      </c>
      <c r="K35" s="23">
        <v>4</v>
      </c>
      <c r="L35" s="21">
        <v>4</v>
      </c>
      <c r="M35" s="23">
        <v>3</v>
      </c>
      <c r="N35" s="21">
        <v>4</v>
      </c>
      <c r="O35" s="23">
        <v>4</v>
      </c>
      <c r="P35" s="21">
        <v>4</v>
      </c>
      <c r="Q35" s="23">
        <v>0</v>
      </c>
      <c r="R35" s="21">
        <v>4</v>
      </c>
      <c r="S35" s="47">
        <v>4</v>
      </c>
      <c r="T35" s="21">
        <v>4</v>
      </c>
      <c r="U35" s="23">
        <v>4</v>
      </c>
      <c r="V35" s="21">
        <v>4</v>
      </c>
      <c r="W35" s="23">
        <v>5</v>
      </c>
      <c r="X35" s="21">
        <v>4</v>
      </c>
      <c r="Y35" s="47">
        <v>0</v>
      </c>
      <c r="Z35" s="21">
        <v>4</v>
      </c>
      <c r="AA35" s="23"/>
      <c r="AB35" s="21">
        <v>4</v>
      </c>
      <c r="AC35" s="23"/>
      <c r="AD35" s="21">
        <v>4</v>
      </c>
      <c r="AE35" s="23"/>
      <c r="AF35" s="59">
        <f t="shared" si="0"/>
        <v>0.5</v>
      </c>
    </row>
    <row r="36" spans="1:32">
      <c r="A36" s="11">
        <v>29</v>
      </c>
      <c r="B36" s="20">
        <v>11255</v>
      </c>
      <c r="C36" s="19" t="s">
        <v>136</v>
      </c>
      <c r="D36" s="19" t="s">
        <v>137</v>
      </c>
      <c r="E36" s="19" t="s">
        <v>65</v>
      </c>
      <c r="F36" s="20" t="s">
        <v>103</v>
      </c>
      <c r="G36" s="26" t="b">
        <v>1</v>
      </c>
      <c r="H36" s="21">
        <v>4</v>
      </c>
      <c r="I36" s="23">
        <v>0</v>
      </c>
      <c r="J36" s="21">
        <v>4</v>
      </c>
      <c r="K36" s="23">
        <v>4</v>
      </c>
      <c r="L36" s="21">
        <v>4</v>
      </c>
      <c r="M36" s="23">
        <v>4</v>
      </c>
      <c r="N36" s="21">
        <v>4</v>
      </c>
      <c r="O36" s="23">
        <v>4</v>
      </c>
      <c r="P36" s="21">
        <v>4</v>
      </c>
      <c r="Q36" s="23">
        <v>5</v>
      </c>
      <c r="R36" s="21">
        <v>4</v>
      </c>
      <c r="S36" s="23">
        <v>4</v>
      </c>
      <c r="T36" s="21">
        <v>4</v>
      </c>
      <c r="U36" s="23">
        <v>4</v>
      </c>
      <c r="V36" s="21">
        <v>4</v>
      </c>
      <c r="W36" s="23">
        <v>4</v>
      </c>
      <c r="X36" s="21">
        <v>4</v>
      </c>
      <c r="Y36" s="47">
        <v>2</v>
      </c>
      <c r="Z36" s="21">
        <v>4</v>
      </c>
      <c r="AA36" s="23"/>
      <c r="AB36" s="21">
        <v>4</v>
      </c>
      <c r="AC36" s="23"/>
      <c r="AD36" s="21">
        <v>4</v>
      </c>
      <c r="AE36" s="23"/>
      <c r="AF36" s="59">
        <f t="shared" si="0"/>
        <v>0.64583333333333337</v>
      </c>
    </row>
    <row r="37" spans="1:32">
      <c r="A37" s="11">
        <v>30</v>
      </c>
      <c r="B37" s="20">
        <v>12408</v>
      </c>
      <c r="C37" s="19" t="s">
        <v>138</v>
      </c>
      <c r="D37" s="19" t="s">
        <v>139</v>
      </c>
      <c r="E37" s="19" t="s">
        <v>65</v>
      </c>
      <c r="F37" s="20" t="s">
        <v>55</v>
      </c>
      <c r="G37" s="26" t="b">
        <v>1</v>
      </c>
      <c r="H37" s="21">
        <v>4</v>
      </c>
      <c r="I37" s="23">
        <v>2</v>
      </c>
      <c r="J37" s="21">
        <v>4</v>
      </c>
      <c r="K37" s="23">
        <v>4</v>
      </c>
      <c r="L37" s="21">
        <v>4</v>
      </c>
      <c r="M37" s="23">
        <v>4</v>
      </c>
      <c r="N37" s="21">
        <v>4</v>
      </c>
      <c r="O37" s="23">
        <v>4</v>
      </c>
      <c r="P37" s="21">
        <v>4</v>
      </c>
      <c r="Q37" s="23">
        <v>0</v>
      </c>
      <c r="R37" s="21">
        <v>4</v>
      </c>
      <c r="S37" s="23">
        <v>4</v>
      </c>
      <c r="T37" s="21">
        <v>4</v>
      </c>
      <c r="U37" s="47">
        <v>4</v>
      </c>
      <c r="V37" s="21">
        <v>4</v>
      </c>
      <c r="W37" s="47">
        <v>4</v>
      </c>
      <c r="X37" s="21">
        <v>4</v>
      </c>
      <c r="Y37" s="47">
        <v>0</v>
      </c>
      <c r="Z37" s="21">
        <v>4</v>
      </c>
      <c r="AA37" s="23"/>
      <c r="AB37" s="21">
        <v>4</v>
      </c>
      <c r="AC37" s="23"/>
      <c r="AD37" s="21">
        <v>4</v>
      </c>
      <c r="AE37" s="23"/>
      <c r="AF37" s="59">
        <f t="shared" si="0"/>
        <v>0.54166666666666663</v>
      </c>
    </row>
    <row r="38" spans="1:32">
      <c r="A38" s="11">
        <v>31</v>
      </c>
      <c r="B38" s="20">
        <v>10824</v>
      </c>
      <c r="C38" s="19" t="s">
        <v>140</v>
      </c>
      <c r="D38" s="19" t="s">
        <v>141</v>
      </c>
      <c r="E38" s="19" t="s">
        <v>142</v>
      </c>
      <c r="F38" s="20" t="s">
        <v>68</v>
      </c>
      <c r="G38" s="26" t="b">
        <v>1</v>
      </c>
      <c r="H38" s="21">
        <v>4</v>
      </c>
      <c r="I38" s="23">
        <v>24</v>
      </c>
      <c r="J38" s="21">
        <v>4</v>
      </c>
      <c r="K38" s="23">
        <v>10</v>
      </c>
      <c r="L38" s="21">
        <v>4</v>
      </c>
      <c r="M38" s="23">
        <v>18</v>
      </c>
      <c r="N38" s="21">
        <v>4</v>
      </c>
      <c r="O38" s="23">
        <v>10</v>
      </c>
      <c r="P38" s="21">
        <v>4</v>
      </c>
      <c r="Q38" s="23">
        <v>9</v>
      </c>
      <c r="R38" s="21">
        <v>4</v>
      </c>
      <c r="S38" s="23">
        <v>5</v>
      </c>
      <c r="T38" s="21">
        <v>4</v>
      </c>
      <c r="U38" s="47">
        <v>13</v>
      </c>
      <c r="V38" s="21">
        <v>4</v>
      </c>
      <c r="W38" s="47">
        <v>8</v>
      </c>
      <c r="X38" s="21">
        <v>4</v>
      </c>
      <c r="Y38" s="47">
        <v>4</v>
      </c>
      <c r="Z38" s="21">
        <v>4</v>
      </c>
      <c r="AA38" s="23"/>
      <c r="AB38" s="21">
        <v>4</v>
      </c>
      <c r="AC38" s="23"/>
      <c r="AD38" s="21">
        <v>4</v>
      </c>
      <c r="AE38" s="23"/>
      <c r="AF38" s="60">
        <f>SUM(I38,K38,AE38,AC38,AA38,Y38,W38,U38,S38,Q38,O38,M38)/(12*4)</f>
        <v>2.1041666666666665</v>
      </c>
    </row>
    <row r="39" spans="1:32">
      <c r="A39" s="11">
        <v>32</v>
      </c>
      <c r="B39" s="20">
        <v>10772</v>
      </c>
      <c r="C39" s="19" t="s">
        <v>143</v>
      </c>
      <c r="D39" s="19" t="s">
        <v>144</v>
      </c>
      <c r="E39" s="19" t="s">
        <v>65</v>
      </c>
      <c r="F39" s="20" t="s">
        <v>55</v>
      </c>
      <c r="G39" s="26" t="b">
        <v>1</v>
      </c>
      <c r="H39" s="21">
        <v>4</v>
      </c>
      <c r="I39" s="23">
        <v>0</v>
      </c>
      <c r="J39" s="21">
        <v>4</v>
      </c>
      <c r="K39" s="23">
        <v>4</v>
      </c>
      <c r="L39" s="21">
        <v>4</v>
      </c>
      <c r="M39" s="23">
        <v>4</v>
      </c>
      <c r="N39" s="21">
        <v>4</v>
      </c>
      <c r="O39" s="23">
        <v>4</v>
      </c>
      <c r="P39" s="21">
        <v>4</v>
      </c>
      <c r="Q39" s="23">
        <v>4</v>
      </c>
      <c r="R39" s="21">
        <v>4</v>
      </c>
      <c r="S39" s="23">
        <v>4</v>
      </c>
      <c r="T39" s="21">
        <v>4</v>
      </c>
      <c r="U39" s="47">
        <v>4</v>
      </c>
      <c r="V39" s="21">
        <v>4</v>
      </c>
      <c r="W39" s="47">
        <v>4</v>
      </c>
      <c r="X39" s="21">
        <v>4</v>
      </c>
      <c r="Y39" s="47">
        <v>0</v>
      </c>
      <c r="Z39" s="21">
        <v>4</v>
      </c>
      <c r="AA39" s="23"/>
      <c r="AB39" s="21">
        <v>4</v>
      </c>
      <c r="AC39" s="23"/>
      <c r="AD39" s="21">
        <v>4</v>
      </c>
      <c r="AE39" s="23"/>
      <c r="AF39" s="59">
        <f t="shared" si="0"/>
        <v>0.58333333333333337</v>
      </c>
    </row>
    <row r="40" spans="1:32" ht="12" hidden="1" customHeight="1">
      <c r="A40" s="11">
        <v>38</v>
      </c>
      <c r="B40" s="20">
        <v>1467</v>
      </c>
      <c r="C40" s="19" t="s">
        <v>145</v>
      </c>
      <c r="D40" s="19" t="s">
        <v>146</v>
      </c>
      <c r="E40" s="19" t="s">
        <v>75</v>
      </c>
      <c r="F40" s="20" t="s">
        <v>147</v>
      </c>
      <c r="G40" s="26" t="b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23">
        <v>0</v>
      </c>
      <c r="X40" s="61">
        <v>0</v>
      </c>
      <c r="Y40" s="47"/>
      <c r="Z40" s="61">
        <v>0</v>
      </c>
      <c r="AA40" s="61"/>
      <c r="AB40" s="61">
        <v>0</v>
      </c>
      <c r="AC40" s="61"/>
      <c r="AD40" s="61">
        <v>0</v>
      </c>
      <c r="AE40" s="61"/>
      <c r="AF40" s="38">
        <f t="shared" si="0"/>
        <v>0</v>
      </c>
    </row>
    <row r="41" spans="1:32">
      <c r="A41" s="11">
        <v>33</v>
      </c>
      <c r="B41" s="20">
        <v>12095</v>
      </c>
      <c r="C41" s="19" t="s">
        <v>148</v>
      </c>
      <c r="D41" s="19"/>
      <c r="E41" s="19" t="s">
        <v>65</v>
      </c>
      <c r="F41" s="20">
        <v>1040</v>
      </c>
      <c r="G41" s="26" t="b">
        <v>1</v>
      </c>
      <c r="H41" s="21">
        <v>4</v>
      </c>
      <c r="I41" s="23">
        <v>0</v>
      </c>
      <c r="J41" s="21">
        <v>4</v>
      </c>
      <c r="K41" s="23">
        <v>1</v>
      </c>
      <c r="L41" s="21">
        <v>4</v>
      </c>
      <c r="M41" s="23">
        <v>4</v>
      </c>
      <c r="N41" s="21">
        <v>4</v>
      </c>
      <c r="O41" s="23">
        <v>5</v>
      </c>
      <c r="P41" s="21">
        <v>4</v>
      </c>
      <c r="Q41" s="23">
        <v>4</v>
      </c>
      <c r="R41" s="21">
        <v>4</v>
      </c>
      <c r="S41" s="47">
        <v>4</v>
      </c>
      <c r="T41" s="21">
        <v>4</v>
      </c>
      <c r="U41" s="47">
        <v>0</v>
      </c>
      <c r="V41" s="21">
        <v>4</v>
      </c>
      <c r="W41" s="47">
        <v>4</v>
      </c>
      <c r="X41" s="21">
        <v>4</v>
      </c>
      <c r="Y41" s="23">
        <v>0</v>
      </c>
      <c r="Z41" s="21">
        <v>4</v>
      </c>
      <c r="AA41" s="23"/>
      <c r="AB41" s="21">
        <v>4</v>
      </c>
      <c r="AC41" s="23"/>
      <c r="AD41" s="21">
        <v>4</v>
      </c>
      <c r="AE41" s="23"/>
      <c r="AF41" s="59">
        <f t="shared" si="0"/>
        <v>0.45833333333333331</v>
      </c>
    </row>
    <row r="42" spans="1:32">
      <c r="A42" s="11">
        <v>34</v>
      </c>
      <c r="B42" s="20">
        <v>12452</v>
      </c>
      <c r="C42" s="19" t="s">
        <v>149</v>
      </c>
      <c r="D42" s="19" t="s">
        <v>150</v>
      </c>
      <c r="E42" s="19" t="s">
        <v>65</v>
      </c>
      <c r="F42" s="20" t="s">
        <v>55</v>
      </c>
      <c r="G42" s="26" t="b">
        <v>1</v>
      </c>
      <c r="H42" s="21">
        <v>4</v>
      </c>
      <c r="I42" s="23">
        <v>0</v>
      </c>
      <c r="J42" s="21">
        <v>4</v>
      </c>
      <c r="K42" s="23">
        <v>0</v>
      </c>
      <c r="L42" s="21">
        <v>4</v>
      </c>
      <c r="M42" s="23">
        <v>0</v>
      </c>
      <c r="N42" s="21">
        <v>4</v>
      </c>
      <c r="O42" s="23">
        <v>0</v>
      </c>
      <c r="P42" s="21">
        <v>4</v>
      </c>
      <c r="Q42" s="23">
        <v>0</v>
      </c>
      <c r="R42" s="21">
        <v>4</v>
      </c>
      <c r="S42" s="47">
        <v>0</v>
      </c>
      <c r="T42" s="21">
        <v>4</v>
      </c>
      <c r="U42" s="47">
        <v>1</v>
      </c>
      <c r="V42" s="21">
        <v>4</v>
      </c>
      <c r="W42" s="47">
        <v>4</v>
      </c>
      <c r="X42" s="21">
        <v>4</v>
      </c>
      <c r="Y42" s="23">
        <v>0</v>
      </c>
      <c r="Z42" s="21">
        <v>4</v>
      </c>
      <c r="AA42" s="23"/>
      <c r="AB42" s="21">
        <v>4</v>
      </c>
      <c r="AC42" s="23"/>
      <c r="AD42" s="21">
        <v>4</v>
      </c>
      <c r="AE42" s="23"/>
      <c r="AF42" s="59">
        <f t="shared" si="0"/>
        <v>0.10416666666666667</v>
      </c>
    </row>
    <row r="43" spans="1:32">
      <c r="A43" s="11">
        <v>35</v>
      </c>
      <c r="B43" s="20">
        <v>10553</v>
      </c>
      <c r="C43" s="19" t="s">
        <v>151</v>
      </c>
      <c r="D43" s="19" t="s">
        <v>152</v>
      </c>
      <c r="E43" s="19" t="s">
        <v>106</v>
      </c>
      <c r="F43" s="20" t="s">
        <v>107</v>
      </c>
      <c r="G43" s="26" t="b">
        <v>1</v>
      </c>
      <c r="H43" s="21">
        <v>4</v>
      </c>
      <c r="I43" s="23">
        <v>3</v>
      </c>
      <c r="J43" s="21">
        <v>4</v>
      </c>
      <c r="K43" s="23">
        <v>4</v>
      </c>
      <c r="L43" s="21">
        <v>4</v>
      </c>
      <c r="M43" s="23">
        <v>4</v>
      </c>
      <c r="N43" s="21">
        <v>4</v>
      </c>
      <c r="O43" s="23">
        <v>4</v>
      </c>
      <c r="P43" s="21">
        <v>4</v>
      </c>
      <c r="Q43" s="23">
        <v>0</v>
      </c>
      <c r="R43" s="21">
        <v>4</v>
      </c>
      <c r="S43" s="23">
        <v>5</v>
      </c>
      <c r="T43" s="21">
        <v>4</v>
      </c>
      <c r="U43" s="47">
        <v>3</v>
      </c>
      <c r="V43" s="21">
        <v>4</v>
      </c>
      <c r="W43" s="47">
        <v>6</v>
      </c>
      <c r="X43" s="21">
        <v>4</v>
      </c>
      <c r="Y43" s="23">
        <v>1</v>
      </c>
      <c r="Z43" s="21">
        <v>4</v>
      </c>
      <c r="AA43" s="23"/>
      <c r="AB43" s="21">
        <v>4</v>
      </c>
      <c r="AC43" s="23"/>
      <c r="AD43" s="21">
        <v>4</v>
      </c>
      <c r="AE43" s="23"/>
      <c r="AF43" s="59">
        <f t="shared" si="0"/>
        <v>0.625</v>
      </c>
    </row>
    <row r="44" spans="1:32">
      <c r="A44" s="11">
        <v>36</v>
      </c>
      <c r="B44" s="20">
        <v>12447</v>
      </c>
      <c r="C44" s="19" t="s">
        <v>153</v>
      </c>
      <c r="D44" s="19" t="s">
        <v>154</v>
      </c>
      <c r="E44" s="19" t="s">
        <v>54</v>
      </c>
      <c r="F44" s="20" t="s">
        <v>155</v>
      </c>
      <c r="G44" s="26" t="b">
        <v>1</v>
      </c>
      <c r="H44" s="21">
        <v>4</v>
      </c>
      <c r="I44" s="23">
        <v>0</v>
      </c>
      <c r="J44" s="21">
        <v>4</v>
      </c>
      <c r="K44" s="23">
        <v>0</v>
      </c>
      <c r="L44" s="21">
        <v>4</v>
      </c>
      <c r="M44" s="23">
        <v>3</v>
      </c>
      <c r="N44" s="21">
        <v>4</v>
      </c>
      <c r="O44" s="23">
        <v>4</v>
      </c>
      <c r="P44" s="21">
        <v>4</v>
      </c>
      <c r="Q44" s="23">
        <v>1</v>
      </c>
      <c r="R44" s="21">
        <v>4</v>
      </c>
      <c r="S44" s="47">
        <v>0</v>
      </c>
      <c r="T44" s="21">
        <v>4</v>
      </c>
      <c r="U44" s="47">
        <v>5</v>
      </c>
      <c r="V44" s="21">
        <v>4</v>
      </c>
      <c r="W44" s="47">
        <v>5</v>
      </c>
      <c r="X44" s="21">
        <v>4</v>
      </c>
      <c r="Y44" s="23">
        <v>1</v>
      </c>
      <c r="Z44" s="21">
        <v>4</v>
      </c>
      <c r="AA44" s="23"/>
      <c r="AB44" s="21">
        <v>4</v>
      </c>
      <c r="AC44" s="23"/>
      <c r="AD44" s="21">
        <v>4</v>
      </c>
      <c r="AE44" s="23"/>
      <c r="AF44" s="59">
        <f t="shared" si="0"/>
        <v>0.39583333333333331</v>
      </c>
    </row>
    <row r="45" spans="1:32">
      <c r="A45" s="11">
        <v>37</v>
      </c>
      <c r="B45" s="20">
        <v>12636</v>
      </c>
      <c r="C45" s="19" t="s">
        <v>156</v>
      </c>
      <c r="D45" s="19" t="s">
        <v>157</v>
      </c>
      <c r="E45" s="19" t="s">
        <v>135</v>
      </c>
      <c r="F45" s="20" t="s">
        <v>107</v>
      </c>
      <c r="G45" s="26" t="b">
        <v>1</v>
      </c>
      <c r="H45" s="21">
        <v>4</v>
      </c>
      <c r="I45" s="23">
        <v>0</v>
      </c>
      <c r="J45" s="21">
        <v>4</v>
      </c>
      <c r="K45" s="23">
        <v>0</v>
      </c>
      <c r="L45" s="21">
        <v>4</v>
      </c>
      <c r="M45" s="23">
        <v>4</v>
      </c>
      <c r="N45" s="21">
        <v>4</v>
      </c>
      <c r="O45" s="23">
        <v>0</v>
      </c>
      <c r="P45" s="21">
        <v>4</v>
      </c>
      <c r="Q45" s="23">
        <v>1</v>
      </c>
      <c r="R45" s="21">
        <v>4</v>
      </c>
      <c r="S45" s="47">
        <v>4</v>
      </c>
      <c r="T45" s="21">
        <v>4</v>
      </c>
      <c r="U45" s="47">
        <v>0</v>
      </c>
      <c r="V45" s="21">
        <v>4</v>
      </c>
      <c r="W45" s="47">
        <v>4</v>
      </c>
      <c r="X45" s="21">
        <v>4</v>
      </c>
      <c r="Y45" s="23">
        <v>0</v>
      </c>
      <c r="Z45" s="21">
        <v>4</v>
      </c>
      <c r="AA45" s="23"/>
      <c r="AB45" s="21">
        <v>4</v>
      </c>
      <c r="AC45" s="23"/>
      <c r="AD45" s="21">
        <v>4</v>
      </c>
      <c r="AE45" s="23"/>
      <c r="AF45" s="59">
        <f t="shared" si="0"/>
        <v>0.27083333333333331</v>
      </c>
    </row>
    <row r="46" spans="1:32">
      <c r="A46" s="11">
        <v>38</v>
      </c>
      <c r="B46" s="20">
        <v>11254</v>
      </c>
      <c r="C46" s="19" t="s">
        <v>158</v>
      </c>
      <c r="D46" s="19" t="s">
        <v>159</v>
      </c>
      <c r="E46" s="19" t="s">
        <v>71</v>
      </c>
      <c r="F46" s="20" t="s">
        <v>72</v>
      </c>
      <c r="G46" s="26" t="b">
        <v>1</v>
      </c>
      <c r="H46" s="21">
        <v>4</v>
      </c>
      <c r="I46" s="23">
        <v>0</v>
      </c>
      <c r="J46" s="21">
        <v>4</v>
      </c>
      <c r="K46" s="23">
        <v>0</v>
      </c>
      <c r="L46" s="21">
        <v>4</v>
      </c>
      <c r="M46" s="23">
        <v>0</v>
      </c>
      <c r="N46" s="21">
        <v>4</v>
      </c>
      <c r="O46" s="23">
        <v>0</v>
      </c>
      <c r="P46" s="21">
        <v>4</v>
      </c>
      <c r="Q46" s="23">
        <v>0</v>
      </c>
      <c r="R46" s="21">
        <v>4</v>
      </c>
      <c r="S46" s="47">
        <v>0</v>
      </c>
      <c r="T46" s="21">
        <v>4</v>
      </c>
      <c r="U46" s="23">
        <v>3</v>
      </c>
      <c r="V46" s="21">
        <v>4</v>
      </c>
      <c r="W46" s="23">
        <v>4</v>
      </c>
      <c r="X46" s="21">
        <v>4</v>
      </c>
      <c r="Y46" s="47">
        <v>2</v>
      </c>
      <c r="Z46" s="21">
        <v>4</v>
      </c>
      <c r="AA46" s="23"/>
      <c r="AB46" s="21">
        <v>4</v>
      </c>
      <c r="AC46" s="23"/>
      <c r="AD46" s="21">
        <v>4</v>
      </c>
      <c r="AE46" s="23"/>
      <c r="AF46" s="59">
        <f t="shared" si="0"/>
        <v>0.1875</v>
      </c>
    </row>
    <row r="47" spans="1:32">
      <c r="A47" s="11">
        <v>39</v>
      </c>
      <c r="B47" s="20">
        <v>11395</v>
      </c>
      <c r="C47" s="19" t="s">
        <v>160</v>
      </c>
      <c r="D47" s="19" t="s">
        <v>161</v>
      </c>
      <c r="E47" s="19" t="s">
        <v>54</v>
      </c>
      <c r="F47" s="20" t="s">
        <v>86</v>
      </c>
      <c r="G47" s="26" t="b">
        <v>1</v>
      </c>
      <c r="H47" s="21">
        <v>4</v>
      </c>
      <c r="I47" s="23">
        <v>0</v>
      </c>
      <c r="J47" s="21">
        <v>4</v>
      </c>
      <c r="K47" s="23">
        <v>4</v>
      </c>
      <c r="L47" s="21">
        <v>4</v>
      </c>
      <c r="M47" s="23">
        <v>4</v>
      </c>
      <c r="N47" s="21">
        <v>4</v>
      </c>
      <c r="O47" s="23">
        <v>4</v>
      </c>
      <c r="P47" s="21">
        <v>4</v>
      </c>
      <c r="Q47" s="23">
        <v>4</v>
      </c>
      <c r="R47" s="21">
        <v>4</v>
      </c>
      <c r="S47" s="47">
        <v>4</v>
      </c>
      <c r="T47" s="21">
        <v>4</v>
      </c>
      <c r="U47" s="23">
        <v>4</v>
      </c>
      <c r="V47" s="21">
        <v>4</v>
      </c>
      <c r="W47" s="23">
        <v>4</v>
      </c>
      <c r="X47" s="21">
        <v>4</v>
      </c>
      <c r="Y47" s="47">
        <v>2</v>
      </c>
      <c r="Z47" s="21">
        <v>4</v>
      </c>
      <c r="AA47" s="23"/>
      <c r="AB47" s="21">
        <v>4</v>
      </c>
      <c r="AC47" s="23"/>
      <c r="AD47" s="21">
        <v>4</v>
      </c>
      <c r="AE47" s="23"/>
      <c r="AF47" s="59">
        <f t="shared" si="0"/>
        <v>0.625</v>
      </c>
    </row>
    <row r="48" spans="1:32">
      <c r="A48" s="11">
        <v>40</v>
      </c>
      <c r="B48" s="20">
        <v>12606</v>
      </c>
      <c r="C48" s="19" t="s">
        <v>162</v>
      </c>
      <c r="D48" s="19"/>
      <c r="E48" s="19" t="s">
        <v>71</v>
      </c>
      <c r="F48" s="20">
        <v>6320</v>
      </c>
      <c r="G48" s="26" t="b">
        <v>1</v>
      </c>
      <c r="H48" s="21">
        <v>4</v>
      </c>
      <c r="I48" s="23">
        <v>0</v>
      </c>
      <c r="J48" s="21">
        <v>4</v>
      </c>
      <c r="K48" s="23">
        <v>0</v>
      </c>
      <c r="L48" s="21">
        <v>4</v>
      </c>
      <c r="M48" s="23">
        <v>0</v>
      </c>
      <c r="N48" s="21">
        <v>4</v>
      </c>
      <c r="O48" s="23">
        <v>0</v>
      </c>
      <c r="P48" s="21">
        <v>4</v>
      </c>
      <c r="Q48" s="23">
        <v>0</v>
      </c>
      <c r="R48" s="21">
        <v>4</v>
      </c>
      <c r="S48" s="47">
        <v>0</v>
      </c>
      <c r="T48" s="21">
        <v>4</v>
      </c>
      <c r="U48" s="23">
        <v>0</v>
      </c>
      <c r="V48" s="21">
        <v>4</v>
      </c>
      <c r="W48" s="23">
        <v>0</v>
      </c>
      <c r="X48" s="21">
        <v>4</v>
      </c>
      <c r="Y48" s="47">
        <v>0</v>
      </c>
      <c r="Z48" s="21">
        <v>4</v>
      </c>
      <c r="AA48" s="23"/>
      <c r="AB48" s="21">
        <v>4</v>
      </c>
      <c r="AC48" s="23"/>
      <c r="AD48" s="21">
        <v>4</v>
      </c>
      <c r="AE48" s="23"/>
      <c r="AF48" s="59">
        <f t="shared" si="0"/>
        <v>0</v>
      </c>
    </row>
    <row r="49" spans="1:33">
      <c r="A49" s="11">
        <v>41</v>
      </c>
      <c r="B49" s="20">
        <v>1308</v>
      </c>
      <c r="C49" s="19" t="s">
        <v>163</v>
      </c>
      <c r="D49" s="19" t="s">
        <v>164</v>
      </c>
      <c r="E49" s="19" t="s">
        <v>117</v>
      </c>
      <c r="F49" s="20" t="s">
        <v>165</v>
      </c>
      <c r="G49" s="26" t="b">
        <v>1</v>
      </c>
      <c r="H49" s="21">
        <v>4</v>
      </c>
      <c r="I49" s="23">
        <v>5</v>
      </c>
      <c r="J49" s="21">
        <v>4</v>
      </c>
      <c r="K49" s="23">
        <v>5</v>
      </c>
      <c r="L49" s="21">
        <v>4</v>
      </c>
      <c r="M49" s="23">
        <v>4</v>
      </c>
      <c r="N49" s="21">
        <v>4</v>
      </c>
      <c r="O49" s="23">
        <v>5</v>
      </c>
      <c r="P49" s="21">
        <v>4</v>
      </c>
      <c r="Q49" s="23">
        <v>5</v>
      </c>
      <c r="R49" s="21">
        <v>4</v>
      </c>
      <c r="S49" s="23">
        <v>4</v>
      </c>
      <c r="T49" s="21">
        <v>4</v>
      </c>
      <c r="U49" s="23">
        <v>4</v>
      </c>
      <c r="V49" s="21">
        <v>4</v>
      </c>
      <c r="W49" s="23">
        <v>4</v>
      </c>
      <c r="X49" s="21">
        <v>4</v>
      </c>
      <c r="Y49" s="47">
        <v>0</v>
      </c>
      <c r="Z49" s="21">
        <v>4</v>
      </c>
      <c r="AA49" s="23"/>
      <c r="AB49" s="21">
        <v>4</v>
      </c>
      <c r="AC49" s="23"/>
      <c r="AD49" s="21">
        <v>4</v>
      </c>
      <c r="AE49" s="23"/>
      <c r="AF49" s="60">
        <f t="shared" si="0"/>
        <v>0.75</v>
      </c>
    </row>
    <row r="50" spans="1:33">
      <c r="A50" s="11">
        <v>42</v>
      </c>
      <c r="B50" s="20">
        <v>12508</v>
      </c>
      <c r="C50" s="19" t="s">
        <v>166</v>
      </c>
      <c r="D50" s="19" t="s">
        <v>167</v>
      </c>
      <c r="E50" s="19" t="s">
        <v>54</v>
      </c>
      <c r="F50" s="20" t="s">
        <v>86</v>
      </c>
      <c r="G50" s="26" t="b">
        <v>1</v>
      </c>
      <c r="H50" s="21">
        <v>4</v>
      </c>
      <c r="I50" s="23">
        <v>4</v>
      </c>
      <c r="J50" s="21">
        <v>4</v>
      </c>
      <c r="K50" s="23">
        <v>4</v>
      </c>
      <c r="L50" s="21">
        <v>4</v>
      </c>
      <c r="M50" s="23">
        <v>4</v>
      </c>
      <c r="N50" s="21">
        <v>4</v>
      </c>
      <c r="O50" s="23">
        <v>4</v>
      </c>
      <c r="P50" s="21">
        <v>4</v>
      </c>
      <c r="Q50" s="23">
        <v>4</v>
      </c>
      <c r="R50" s="21">
        <v>4</v>
      </c>
      <c r="S50" s="23">
        <v>5</v>
      </c>
      <c r="T50" s="21">
        <v>4</v>
      </c>
      <c r="U50" s="23">
        <v>5</v>
      </c>
      <c r="V50" s="21">
        <v>4</v>
      </c>
      <c r="W50" s="23">
        <v>4</v>
      </c>
      <c r="X50" s="21">
        <v>4</v>
      </c>
      <c r="Y50" s="47">
        <v>0</v>
      </c>
      <c r="Z50" s="21">
        <v>4</v>
      </c>
      <c r="AA50" s="23"/>
      <c r="AB50" s="21">
        <v>4</v>
      </c>
      <c r="AC50" s="23"/>
      <c r="AD50" s="21">
        <v>4</v>
      </c>
      <c r="AE50" s="23"/>
      <c r="AF50" s="60">
        <f t="shared" si="0"/>
        <v>0.70833333333333337</v>
      </c>
    </row>
    <row r="51" spans="1:33">
      <c r="A51" s="11">
        <v>43</v>
      </c>
      <c r="B51" s="20">
        <v>12001</v>
      </c>
      <c r="C51" s="19" t="s">
        <v>168</v>
      </c>
      <c r="D51" s="19" t="s">
        <v>169</v>
      </c>
      <c r="E51" s="19" t="s">
        <v>170</v>
      </c>
      <c r="F51" s="20" t="s">
        <v>68</v>
      </c>
      <c r="G51" s="26" t="b">
        <v>1</v>
      </c>
      <c r="H51" s="21">
        <v>4</v>
      </c>
      <c r="I51" s="23">
        <v>4</v>
      </c>
      <c r="J51" s="21">
        <v>4</v>
      </c>
      <c r="K51" s="23">
        <v>5</v>
      </c>
      <c r="L51" s="21">
        <v>4</v>
      </c>
      <c r="M51" s="23">
        <v>4</v>
      </c>
      <c r="N51" s="21">
        <v>4</v>
      </c>
      <c r="O51" s="23">
        <v>4</v>
      </c>
      <c r="P51" s="21">
        <v>4</v>
      </c>
      <c r="Q51" s="23">
        <v>4</v>
      </c>
      <c r="R51" s="21">
        <v>4</v>
      </c>
      <c r="S51" s="23">
        <v>6</v>
      </c>
      <c r="T51" s="21">
        <v>4</v>
      </c>
      <c r="U51" s="47">
        <v>4</v>
      </c>
      <c r="V51" s="21">
        <v>4</v>
      </c>
      <c r="W51" s="47">
        <v>5</v>
      </c>
      <c r="X51" s="21">
        <v>4</v>
      </c>
      <c r="Y51" s="47">
        <v>3</v>
      </c>
      <c r="Z51" s="21">
        <v>4</v>
      </c>
      <c r="AA51" s="23"/>
      <c r="AB51" s="21">
        <v>4</v>
      </c>
      <c r="AC51" s="23"/>
      <c r="AD51" s="21">
        <v>4</v>
      </c>
      <c r="AE51" s="23"/>
      <c r="AF51" s="60">
        <f t="shared" si="0"/>
        <v>0.8125</v>
      </c>
    </row>
    <row r="52" spans="1:33">
      <c r="A52" s="11">
        <v>44</v>
      </c>
      <c r="B52" s="20">
        <v>10113</v>
      </c>
      <c r="C52" s="19" t="s">
        <v>171</v>
      </c>
      <c r="D52" s="19" t="s">
        <v>157</v>
      </c>
      <c r="E52" s="19" t="s">
        <v>92</v>
      </c>
      <c r="F52" s="20" t="s">
        <v>107</v>
      </c>
      <c r="G52" s="26" t="b">
        <v>1</v>
      </c>
      <c r="H52" s="21">
        <v>4</v>
      </c>
      <c r="I52" s="23">
        <v>0</v>
      </c>
      <c r="J52" s="21">
        <v>4</v>
      </c>
      <c r="K52" s="23">
        <v>4</v>
      </c>
      <c r="L52" s="21">
        <v>4</v>
      </c>
      <c r="M52" s="23">
        <v>4</v>
      </c>
      <c r="N52" s="21">
        <v>4</v>
      </c>
      <c r="O52" s="23">
        <v>4</v>
      </c>
      <c r="P52" s="21">
        <v>4</v>
      </c>
      <c r="Q52" s="23">
        <v>4</v>
      </c>
      <c r="R52" s="21">
        <v>4</v>
      </c>
      <c r="S52" s="23">
        <v>4</v>
      </c>
      <c r="T52" s="21">
        <v>4</v>
      </c>
      <c r="U52" s="47">
        <v>3</v>
      </c>
      <c r="V52" s="21">
        <v>4</v>
      </c>
      <c r="W52" s="47">
        <v>4</v>
      </c>
      <c r="X52" s="21">
        <v>4</v>
      </c>
      <c r="Y52" s="47">
        <v>0</v>
      </c>
      <c r="Z52" s="21">
        <v>4</v>
      </c>
      <c r="AA52" s="23"/>
      <c r="AB52" s="21">
        <v>4</v>
      </c>
      <c r="AC52" s="23"/>
      <c r="AD52" s="21">
        <v>4</v>
      </c>
      <c r="AE52" s="23"/>
      <c r="AF52" s="59">
        <f t="shared" si="0"/>
        <v>0.5625</v>
      </c>
    </row>
    <row r="53" spans="1:33">
      <c r="A53" s="11">
        <v>45</v>
      </c>
      <c r="B53" s="20">
        <v>12880</v>
      </c>
      <c r="C53" s="19" t="s">
        <v>172</v>
      </c>
      <c r="D53" s="19" t="s">
        <v>173</v>
      </c>
      <c r="E53" s="19" t="s">
        <v>174</v>
      </c>
      <c r="F53" s="20" t="s">
        <v>155</v>
      </c>
      <c r="G53" s="26" t="b">
        <v>1</v>
      </c>
      <c r="H53" s="21">
        <v>4</v>
      </c>
      <c r="I53" s="23">
        <v>0</v>
      </c>
      <c r="J53" s="21">
        <v>4</v>
      </c>
      <c r="K53" s="23">
        <v>4</v>
      </c>
      <c r="L53" s="21">
        <v>4</v>
      </c>
      <c r="M53" s="23">
        <v>4</v>
      </c>
      <c r="N53" s="21">
        <v>4</v>
      </c>
      <c r="O53" s="23">
        <v>4</v>
      </c>
      <c r="P53" s="21">
        <v>4</v>
      </c>
      <c r="Q53" s="23">
        <v>4</v>
      </c>
      <c r="R53" s="21">
        <v>4</v>
      </c>
      <c r="S53" s="23">
        <v>4</v>
      </c>
      <c r="T53" s="21">
        <v>4</v>
      </c>
      <c r="U53" s="47">
        <v>4</v>
      </c>
      <c r="V53" s="21">
        <v>4</v>
      </c>
      <c r="W53" s="47">
        <v>0</v>
      </c>
      <c r="X53" s="21">
        <v>4</v>
      </c>
      <c r="Y53" s="23">
        <v>0</v>
      </c>
      <c r="Z53" s="21">
        <v>4</v>
      </c>
      <c r="AA53" s="23"/>
      <c r="AB53" s="21">
        <v>4</v>
      </c>
      <c r="AC53" s="23"/>
      <c r="AD53" s="21">
        <v>4</v>
      </c>
      <c r="AE53" s="23"/>
      <c r="AF53" s="59">
        <f t="shared" si="0"/>
        <v>0.5</v>
      </c>
    </row>
    <row r="54" spans="1:33">
      <c r="A54" s="11">
        <v>46</v>
      </c>
      <c r="B54" s="20">
        <v>12910</v>
      </c>
      <c r="C54" s="19" t="s">
        <v>175</v>
      </c>
      <c r="D54" s="19" t="s">
        <v>176</v>
      </c>
      <c r="E54" s="19" t="s">
        <v>65</v>
      </c>
      <c r="F54" s="20" t="s">
        <v>55</v>
      </c>
      <c r="G54" s="26" t="b">
        <v>1</v>
      </c>
      <c r="H54" s="21">
        <v>4</v>
      </c>
      <c r="I54" s="23">
        <v>0</v>
      </c>
      <c r="J54" s="21">
        <v>4</v>
      </c>
      <c r="K54" s="23">
        <v>0</v>
      </c>
      <c r="L54" s="21">
        <v>4</v>
      </c>
      <c r="M54" s="23">
        <v>0</v>
      </c>
      <c r="N54" s="21">
        <v>4</v>
      </c>
      <c r="O54" s="23">
        <v>4</v>
      </c>
      <c r="P54" s="21">
        <v>4</v>
      </c>
      <c r="Q54" s="23">
        <v>0</v>
      </c>
      <c r="R54" s="21">
        <v>4</v>
      </c>
      <c r="S54" s="47">
        <v>0</v>
      </c>
      <c r="T54" s="21">
        <v>4</v>
      </c>
      <c r="U54" s="47">
        <v>0</v>
      </c>
      <c r="V54" s="21">
        <v>4</v>
      </c>
      <c r="W54" s="47">
        <v>4</v>
      </c>
      <c r="X54" s="21">
        <v>4</v>
      </c>
      <c r="Y54" s="23">
        <v>0</v>
      </c>
      <c r="Z54" s="21">
        <v>4</v>
      </c>
      <c r="AA54" s="23"/>
      <c r="AB54" s="21">
        <v>4</v>
      </c>
      <c r="AC54" s="23"/>
      <c r="AD54" s="21">
        <v>4</v>
      </c>
      <c r="AE54" s="23"/>
      <c r="AF54" s="59">
        <f t="shared" si="0"/>
        <v>0.16666666666666666</v>
      </c>
    </row>
    <row r="55" spans="1:33">
      <c r="A55" s="11">
        <v>47</v>
      </c>
      <c r="B55" s="20">
        <v>12937</v>
      </c>
      <c r="C55" s="19" t="s">
        <v>177</v>
      </c>
      <c r="D55" s="19"/>
      <c r="E55" s="19" t="s">
        <v>65</v>
      </c>
      <c r="F55" s="20" t="s">
        <v>55</v>
      </c>
      <c r="G55" s="26" t="b">
        <v>1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21">
        <v>4</v>
      </c>
      <c r="U55" s="47">
        <v>3</v>
      </c>
      <c r="V55" s="21">
        <v>4</v>
      </c>
      <c r="W55" s="47">
        <v>5</v>
      </c>
      <c r="X55" s="21">
        <v>4</v>
      </c>
      <c r="Y55" s="23">
        <v>0</v>
      </c>
      <c r="Z55" s="21">
        <v>4</v>
      </c>
      <c r="AA55" s="23"/>
      <c r="AB55" s="21">
        <v>4</v>
      </c>
      <c r="AC55" s="23"/>
      <c r="AD55" s="21">
        <v>4</v>
      </c>
      <c r="AE55" s="23"/>
      <c r="AF55" s="59">
        <f t="shared" si="0"/>
        <v>0.16666666666666666</v>
      </c>
    </row>
    <row r="56" spans="1:33" ht="10.9" customHeight="1">
      <c r="A56" s="11">
        <v>48</v>
      </c>
      <c r="B56" s="20">
        <v>12960</v>
      </c>
      <c r="C56" s="19" t="s">
        <v>178</v>
      </c>
      <c r="D56" s="19"/>
      <c r="E56" s="19" t="s">
        <v>54</v>
      </c>
      <c r="F56" s="20">
        <v>1050</v>
      </c>
      <c r="G56" s="26" t="b">
        <v>1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47">
        <v>0</v>
      </c>
      <c r="X56" s="21">
        <v>4</v>
      </c>
      <c r="Y56" s="23">
        <v>0</v>
      </c>
      <c r="Z56" s="21">
        <v>4</v>
      </c>
      <c r="AA56" s="23"/>
      <c r="AB56" s="21">
        <v>4</v>
      </c>
      <c r="AC56" s="23"/>
      <c r="AD56" s="21">
        <v>4</v>
      </c>
      <c r="AE56" s="23"/>
      <c r="AF56" s="59">
        <f t="shared" si="0"/>
        <v>0</v>
      </c>
    </row>
    <row r="59" spans="1:33">
      <c r="I59" s="11"/>
    </row>
    <row r="60" spans="1:33">
      <c r="I60" s="11"/>
      <c r="X60" s="21">
        <f>82*4*4</f>
        <v>1312</v>
      </c>
    </row>
    <row r="61" spans="1:33">
      <c r="H61" s="91" t="s">
        <v>179</v>
      </c>
      <c r="I61" s="91"/>
      <c r="J61" s="91" t="s">
        <v>180</v>
      </c>
      <c r="K61" s="91"/>
      <c r="L61" s="91" t="s">
        <v>181</v>
      </c>
      <c r="M61" s="91"/>
      <c r="N61" s="91" t="s">
        <v>182</v>
      </c>
      <c r="O61" s="91"/>
      <c r="P61" s="91" t="s">
        <v>183</v>
      </c>
      <c r="Q61" s="91"/>
      <c r="R61" s="91" t="s">
        <v>184</v>
      </c>
      <c r="S61" s="91"/>
      <c r="T61" s="92" t="s">
        <v>185</v>
      </c>
      <c r="U61" s="92"/>
      <c r="V61" s="101" t="s">
        <v>186</v>
      </c>
      <c r="W61" s="102"/>
      <c r="X61" s="92" t="s">
        <v>187</v>
      </c>
      <c r="Y61" s="92"/>
      <c r="Z61" s="92" t="s">
        <v>188</v>
      </c>
      <c r="AA61" s="92"/>
      <c r="AB61" s="92" t="s">
        <v>189</v>
      </c>
      <c r="AC61" s="92"/>
      <c r="AD61" s="92" t="s">
        <v>190</v>
      </c>
      <c r="AE61" s="92"/>
      <c r="AF61" s="97" t="s">
        <v>46</v>
      </c>
      <c r="AG61" s="97"/>
    </row>
    <row r="62" spans="1:33" ht="10.9" customHeight="1">
      <c r="F62" s="12"/>
      <c r="G62" s="40" t="s">
        <v>54</v>
      </c>
      <c r="H62" s="41">
        <v>36</v>
      </c>
      <c r="I62" s="41">
        <v>25</v>
      </c>
      <c r="J62" s="41">
        <v>36</v>
      </c>
      <c r="K62" s="41">
        <v>31</v>
      </c>
      <c r="L62" s="41">
        <v>36</v>
      </c>
      <c r="M62" s="41">
        <v>28</v>
      </c>
      <c r="N62" s="41">
        <v>32</v>
      </c>
      <c r="O62" s="41">
        <v>29</v>
      </c>
      <c r="P62" s="41">
        <v>32</v>
      </c>
      <c r="Q62" s="41">
        <v>30</v>
      </c>
      <c r="R62" s="41">
        <v>36</v>
      </c>
      <c r="S62" s="41">
        <v>46</v>
      </c>
      <c r="T62" s="41">
        <v>32</v>
      </c>
      <c r="U62" s="41">
        <v>29</v>
      </c>
      <c r="V62" s="41">
        <v>28</v>
      </c>
      <c r="W62" s="41">
        <v>36</v>
      </c>
      <c r="X62" s="41"/>
      <c r="Y62" s="41">
        <f>SUM(Y4:Y50)</f>
        <v>27</v>
      </c>
      <c r="Z62" s="41"/>
      <c r="AA62" s="41">
        <f>SUM(AA4:AA50)</f>
        <v>0</v>
      </c>
      <c r="AB62" s="41"/>
      <c r="AC62" s="41">
        <f>SUM(AC4:AC50)</f>
        <v>0</v>
      </c>
      <c r="AD62" s="41"/>
      <c r="AE62" s="41">
        <f>SUM(AE4:AE50)</f>
        <v>0</v>
      </c>
      <c r="AF62" s="43">
        <f>SUM(AD62,AB62,Z62,X62,V62,T62,R62,P62,N62,L62,J62,H62)</f>
        <v>268</v>
      </c>
      <c r="AG62" s="43">
        <f>SUM(AE62,AC62,AA62,Y62,W62,U62,S62,Q62,O62,M62,K62,I62)</f>
        <v>281</v>
      </c>
    </row>
    <row r="63" spans="1:33" ht="12" customHeight="1">
      <c r="F63" s="12"/>
      <c r="G63" s="39" t="s">
        <v>191</v>
      </c>
      <c r="H63" s="87">
        <f>I62/H62</f>
        <v>0.69444444444444442</v>
      </c>
      <c r="I63" s="87"/>
      <c r="J63" s="87">
        <f>K62/J62</f>
        <v>0.86111111111111116</v>
      </c>
      <c r="K63" s="87"/>
      <c r="L63" s="87">
        <f>M62/L62</f>
        <v>0.77777777777777779</v>
      </c>
      <c r="M63" s="87"/>
      <c r="N63" s="87">
        <f>O62/N62</f>
        <v>0.90625</v>
      </c>
      <c r="O63" s="87"/>
      <c r="P63" s="87">
        <f>Q62/P62</f>
        <v>0.9375</v>
      </c>
      <c r="Q63" s="87"/>
      <c r="R63" s="87">
        <f>S62/R62</f>
        <v>1.2777777777777777</v>
      </c>
      <c r="S63" s="87"/>
      <c r="T63" s="87">
        <f>U62/T62</f>
        <v>0.90625</v>
      </c>
      <c r="U63" s="87"/>
      <c r="V63" s="94">
        <f>W62/V62</f>
        <v>1.2857142857142858</v>
      </c>
      <c r="W63" s="95"/>
      <c r="X63" s="93" t="e">
        <f>Y62/X62</f>
        <v>#DIV/0!</v>
      </c>
      <c r="Y63" s="93"/>
      <c r="Z63" s="93" t="e">
        <f>AA62/Z62</f>
        <v>#DIV/0!</v>
      </c>
      <c r="AA63" s="93"/>
      <c r="AB63" s="93" t="e">
        <f>AC62/AB62</f>
        <v>#DIV/0!</v>
      </c>
      <c r="AC63" s="93"/>
      <c r="AD63" s="93" t="e">
        <f>AE62/AD62</f>
        <v>#DIV/0!</v>
      </c>
      <c r="AE63" s="93"/>
      <c r="AF63" s="87">
        <f>AG62/AF62</f>
        <v>1.0485074626865671</v>
      </c>
      <c r="AG63" s="87"/>
    </row>
    <row r="64" spans="1:33" ht="12" customHeight="1">
      <c r="E64" s="96"/>
      <c r="F64" s="96"/>
      <c r="G64" s="40" t="s">
        <v>192</v>
      </c>
      <c r="H64" s="41">
        <v>160</v>
      </c>
      <c r="I64" s="41">
        <v>63</v>
      </c>
      <c r="J64" s="41">
        <v>160</v>
      </c>
      <c r="K64" s="41">
        <v>127</v>
      </c>
      <c r="L64" s="41">
        <v>160</v>
      </c>
      <c r="M64" s="41">
        <v>138</v>
      </c>
      <c r="N64" s="41">
        <v>156</v>
      </c>
      <c r="O64" s="41">
        <v>147</v>
      </c>
      <c r="P64" s="41">
        <v>156</v>
      </c>
      <c r="Q64" s="41">
        <v>113</v>
      </c>
      <c r="R64" s="41">
        <v>156</v>
      </c>
      <c r="S64" s="41">
        <v>140</v>
      </c>
      <c r="T64" s="41">
        <v>160</v>
      </c>
      <c r="U64" s="41">
        <v>125</v>
      </c>
      <c r="V64" s="41">
        <v>160</v>
      </c>
      <c r="W64" s="41">
        <v>151</v>
      </c>
      <c r="X64" s="41"/>
      <c r="Y64" s="41">
        <f>SUM(Y5:Y54)</f>
        <v>30</v>
      </c>
      <c r="Z64" s="41"/>
      <c r="AA64" s="41">
        <f>SUM(AA5:AA54)</f>
        <v>0</v>
      </c>
      <c r="AB64" s="41"/>
      <c r="AC64" s="41">
        <f>SUM(AC5:AC54)</f>
        <v>0</v>
      </c>
      <c r="AD64" s="41"/>
      <c r="AE64" s="41">
        <f>SUM(AE5:AE54)</f>
        <v>0</v>
      </c>
      <c r="AF64" s="43">
        <f>SUM(AD64,AB64,Z64,X64,V64,T64,R64,P64,N64,L64,J64,H64)</f>
        <v>1268</v>
      </c>
      <c r="AG64" s="43">
        <f>SUM(AE64,AC64,AA64,Y64,W64,U64,S64,Q64,O64,M64,K64,I64)</f>
        <v>1034</v>
      </c>
    </row>
    <row r="65" spans="5:33" ht="12" customHeight="1">
      <c r="F65" s="12"/>
      <c r="G65" s="39" t="s">
        <v>193</v>
      </c>
      <c r="H65" s="87">
        <f>I64/H64</f>
        <v>0.39374999999999999</v>
      </c>
      <c r="I65" s="87"/>
      <c r="J65" s="87">
        <f>K64/J64</f>
        <v>0.79374999999999996</v>
      </c>
      <c r="K65" s="87"/>
      <c r="L65" s="87">
        <f>M64/L64</f>
        <v>0.86250000000000004</v>
      </c>
      <c r="M65" s="87"/>
      <c r="N65" s="87">
        <f>O64/N64</f>
        <v>0.94230769230769229</v>
      </c>
      <c r="O65" s="87"/>
      <c r="P65" s="87">
        <f>Q64/P64</f>
        <v>0.72435897435897434</v>
      </c>
      <c r="Q65" s="87"/>
      <c r="R65" s="87">
        <f>S64/R64</f>
        <v>0.89743589743589747</v>
      </c>
      <c r="S65" s="87"/>
      <c r="T65" s="87">
        <f>U64/T64</f>
        <v>0.78125</v>
      </c>
      <c r="U65" s="87"/>
      <c r="V65" s="94">
        <f>W64/V64</f>
        <v>0.94374999999999998</v>
      </c>
      <c r="W65" s="95"/>
      <c r="X65" s="93" t="e">
        <f>Y64/X64</f>
        <v>#DIV/0!</v>
      </c>
      <c r="Y65" s="93"/>
      <c r="Z65" s="93" t="e">
        <f>AA64/Z64</f>
        <v>#DIV/0!</v>
      </c>
      <c r="AA65" s="93"/>
      <c r="AB65" s="93" t="e">
        <f>AC64/AB64</f>
        <v>#DIV/0!</v>
      </c>
      <c r="AC65" s="93"/>
      <c r="AD65" s="93" t="e">
        <f>AE64/AD64</f>
        <v>#DIV/0!</v>
      </c>
      <c r="AE65" s="93"/>
      <c r="AF65" s="87">
        <f>AG64/AF64</f>
        <v>0.81545741324921139</v>
      </c>
      <c r="AG65" s="87"/>
    </row>
    <row r="66" spans="5:33" ht="12" customHeight="1">
      <c r="F66" s="12"/>
      <c r="G66" s="39" t="s">
        <v>194</v>
      </c>
      <c r="H66" s="42">
        <v>12</v>
      </c>
      <c r="I66" s="42">
        <v>18</v>
      </c>
      <c r="J66" s="42">
        <v>16</v>
      </c>
      <c r="K66" s="42">
        <v>23</v>
      </c>
      <c r="L66" s="42">
        <v>28</v>
      </c>
      <c r="M66" s="42">
        <v>35</v>
      </c>
      <c r="N66" s="42">
        <v>46</v>
      </c>
      <c r="O66" s="42">
        <v>17</v>
      </c>
      <c r="P66" s="42">
        <v>74</v>
      </c>
      <c r="Q66" s="42">
        <v>71</v>
      </c>
      <c r="R66" s="42">
        <v>112</v>
      </c>
      <c r="S66" s="42">
        <v>107</v>
      </c>
      <c r="T66" s="42">
        <v>112</v>
      </c>
      <c r="U66" s="42">
        <v>101</v>
      </c>
      <c r="V66" s="42">
        <v>136</v>
      </c>
      <c r="W66" s="42">
        <v>93</v>
      </c>
      <c r="X66" s="42"/>
      <c r="Y66" s="42"/>
      <c r="Z66" s="42"/>
      <c r="AA66" s="42"/>
      <c r="AB66" s="42"/>
      <c r="AC66" s="42"/>
      <c r="AD66" s="42"/>
      <c r="AE66" s="42"/>
      <c r="AF66" s="44">
        <f>SUM(AD66,AB66,Z66,X66,V66,T66,R66,P66,N66,L66,J66,H66)</f>
        <v>536</v>
      </c>
      <c r="AG66" s="44">
        <f>SUM(AE66,AC66,AA66,Y66,W66,U66,S66,Q66,O66,M66,K66,I66)</f>
        <v>465</v>
      </c>
    </row>
    <row r="67" spans="5:33" ht="12" customHeight="1">
      <c r="E67" s="65"/>
      <c r="F67" s="65"/>
      <c r="G67" s="64" t="s">
        <v>195</v>
      </c>
      <c r="H67" s="98">
        <f>I66/H66</f>
        <v>1.5</v>
      </c>
      <c r="I67" s="90"/>
      <c r="J67" s="90">
        <f t="shared" ref="J67" si="1">K66/J66</f>
        <v>1.4375</v>
      </c>
      <c r="K67" s="90"/>
      <c r="L67" s="90">
        <f t="shared" ref="L67" si="2">M66/L66</f>
        <v>1.25</v>
      </c>
      <c r="M67" s="90"/>
      <c r="N67" s="90">
        <f t="shared" ref="N67" si="3">O66/N66</f>
        <v>0.36956521739130432</v>
      </c>
      <c r="O67" s="90"/>
      <c r="P67" s="90">
        <f t="shared" ref="P67" si="4">Q66/P66</f>
        <v>0.95945945945945943</v>
      </c>
      <c r="Q67" s="90"/>
      <c r="R67" s="90">
        <f t="shared" ref="R67" si="5">S66/R66</f>
        <v>0.9553571428571429</v>
      </c>
      <c r="S67" s="90"/>
      <c r="T67" s="90">
        <f t="shared" ref="T67" si="6">U66/T66</f>
        <v>0.9017857142857143</v>
      </c>
      <c r="U67" s="90"/>
      <c r="V67" s="88">
        <f t="shared" ref="V67" si="7">W66/V66</f>
        <v>0.68382352941176472</v>
      </c>
      <c r="W67" s="89"/>
      <c r="X67" s="99" t="e">
        <f t="shared" ref="X67" si="8">Y66/X66</f>
        <v>#DIV/0!</v>
      </c>
      <c r="Y67" s="99"/>
      <c r="Z67" s="99" t="e">
        <f t="shared" ref="Z67" si="9">AA66/Z66</f>
        <v>#DIV/0!</v>
      </c>
      <c r="AA67" s="99"/>
      <c r="AB67" s="99" t="e">
        <f t="shared" ref="AB67" si="10">AC66/AB66</f>
        <v>#DIV/0!</v>
      </c>
      <c r="AC67" s="99"/>
      <c r="AD67" s="99" t="e">
        <f t="shared" ref="AD67" si="11">AE66/AD66</f>
        <v>#DIV/0!</v>
      </c>
      <c r="AE67" s="99"/>
      <c r="AF67" s="90">
        <f t="shared" ref="AF67" si="12">AG66/AF66</f>
        <v>0.8675373134328358</v>
      </c>
      <c r="AG67" s="90"/>
    </row>
    <row r="68" spans="5:33">
      <c r="G68" s="40" t="s">
        <v>196</v>
      </c>
      <c r="H68" s="42">
        <f>SUM(H62,H64,H66)</f>
        <v>208</v>
      </c>
      <c r="I68" s="42">
        <f>SUM(I62,I64,I66)</f>
        <v>106</v>
      </c>
      <c r="J68" s="42">
        <f t="shared" ref="I68:S68" si="13">SUM(J62,J64,J66)</f>
        <v>212</v>
      </c>
      <c r="K68" s="42">
        <f t="shared" si="13"/>
        <v>181</v>
      </c>
      <c r="L68" s="42">
        <f t="shared" si="13"/>
        <v>224</v>
      </c>
      <c r="M68" s="42">
        <f t="shared" si="13"/>
        <v>201</v>
      </c>
      <c r="N68" s="42">
        <f t="shared" si="13"/>
        <v>234</v>
      </c>
      <c r="O68" s="42">
        <f t="shared" si="13"/>
        <v>193</v>
      </c>
      <c r="P68" s="42">
        <f t="shared" si="13"/>
        <v>262</v>
      </c>
      <c r="Q68" s="42">
        <f t="shared" si="13"/>
        <v>214</v>
      </c>
      <c r="R68" s="42">
        <f t="shared" si="13"/>
        <v>304</v>
      </c>
      <c r="S68" s="42">
        <f t="shared" si="13"/>
        <v>293</v>
      </c>
      <c r="T68" s="42">
        <f>SUM(T62,T64,T66)</f>
        <v>304</v>
      </c>
      <c r="U68" s="42">
        <f>SUM(U62,U64,U66)</f>
        <v>255</v>
      </c>
      <c r="V68" s="42">
        <f>SUM(V62,V64,V66)</f>
        <v>324</v>
      </c>
      <c r="W68" s="42">
        <f>SUM(W62,W64,W66)</f>
        <v>280</v>
      </c>
      <c r="X68" s="41"/>
      <c r="Y68" s="41"/>
      <c r="Z68" s="41"/>
      <c r="AA68" s="41"/>
      <c r="AB68" s="41"/>
      <c r="AC68" s="41"/>
      <c r="AD68" s="41"/>
      <c r="AE68" s="41"/>
      <c r="AF68" s="62">
        <f>SUM(H68,J68,L68,N68,P68,R68,T68,V68,X68,Z68,AB68,AD68)</f>
        <v>2072</v>
      </c>
      <c r="AG68" s="62">
        <f>SUM(I68,K68,M68,O68,Q68,S68,U68,W68,Y68,AA68,AC68,AE68)</f>
        <v>1723</v>
      </c>
    </row>
    <row r="69" spans="5:33">
      <c r="G69" s="40"/>
      <c r="H69" s="87">
        <f>I68/H68</f>
        <v>0.50961538461538458</v>
      </c>
      <c r="I69" s="87"/>
      <c r="J69" s="87">
        <f t="shared" ref="J69:J70" si="14">K68/J68</f>
        <v>0.85377358490566035</v>
      </c>
      <c r="K69" s="87"/>
      <c r="L69" s="87">
        <f t="shared" ref="L69:L70" si="15">M68/L68</f>
        <v>0.8973214285714286</v>
      </c>
      <c r="M69" s="87"/>
      <c r="N69" s="87">
        <f t="shared" ref="N69:N70" si="16">O68/N68</f>
        <v>0.82478632478632474</v>
      </c>
      <c r="O69" s="87"/>
      <c r="P69" s="87">
        <f t="shared" ref="P69:P70" si="17">Q68/P68</f>
        <v>0.81679389312977102</v>
      </c>
      <c r="Q69" s="87"/>
      <c r="R69" s="87">
        <f t="shared" ref="R69:R70" si="18">S68/R68</f>
        <v>0.96381578947368418</v>
      </c>
      <c r="S69" s="87"/>
      <c r="T69" s="87">
        <f>U68/T68</f>
        <v>0.83881578947368418</v>
      </c>
      <c r="U69" s="87"/>
      <c r="V69" s="87">
        <f>W68/V68</f>
        <v>0.86419753086419748</v>
      </c>
      <c r="W69" s="87"/>
      <c r="X69" s="43"/>
      <c r="Y69" s="43"/>
      <c r="Z69" s="43"/>
      <c r="AA69" s="43"/>
      <c r="AB69" s="43"/>
      <c r="AC69" s="43"/>
      <c r="AD69" s="43"/>
      <c r="AE69" s="43"/>
      <c r="AF69" s="100">
        <f>AG68/AF68</f>
        <v>0.83156370656370659</v>
      </c>
      <c r="AG69" s="100"/>
    </row>
    <row r="70" spans="5:33" ht="13.9">
      <c r="G70" s="66" t="s">
        <v>197</v>
      </c>
      <c r="H70" s="85">
        <v>0.7</v>
      </c>
      <c r="I70" s="85"/>
      <c r="J70" s="85">
        <v>0.85</v>
      </c>
      <c r="K70" s="85"/>
      <c r="L70" s="85">
        <v>0.9</v>
      </c>
      <c r="M70" s="85"/>
      <c r="N70" s="85">
        <v>0.82</v>
      </c>
      <c r="O70" s="85"/>
      <c r="P70" s="85">
        <v>0.82</v>
      </c>
      <c r="Q70" s="85"/>
      <c r="R70" s="85">
        <v>0.97</v>
      </c>
      <c r="S70" s="85"/>
      <c r="T70" s="85">
        <v>0.85</v>
      </c>
      <c r="U70" s="85"/>
      <c r="V70" s="85">
        <v>0.86</v>
      </c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</row>
    <row r="96" spans="22:24">
      <c r="V96" s="21" t="s">
        <v>54</v>
      </c>
      <c r="W96" s="21" t="s">
        <v>198</v>
      </c>
      <c r="X96" s="21" t="s">
        <v>199</v>
      </c>
    </row>
    <row r="97" spans="6:24" ht="13.9">
      <c r="F97" s="48" t="s">
        <v>200</v>
      </c>
      <c r="N97" s="21" t="s">
        <v>201</v>
      </c>
      <c r="W97" s="21">
        <f>18</f>
        <v>18</v>
      </c>
      <c r="X97" s="21">
        <f>59</f>
        <v>59</v>
      </c>
    </row>
    <row r="98" spans="6:24">
      <c r="F98" s="45" t="s">
        <v>202</v>
      </c>
      <c r="G98" s="45" t="s">
        <v>34</v>
      </c>
      <c r="H98" s="45" t="s">
        <v>35</v>
      </c>
      <c r="I98" s="45" t="s">
        <v>36</v>
      </c>
      <c r="J98" s="45" t="s">
        <v>37</v>
      </c>
      <c r="K98" s="45" t="s">
        <v>38</v>
      </c>
      <c r="L98" s="45" t="s">
        <v>39</v>
      </c>
      <c r="M98" s="45" t="s">
        <v>40</v>
      </c>
      <c r="N98" s="45" t="s">
        <v>41</v>
      </c>
      <c r="O98" s="45" t="s">
        <v>42</v>
      </c>
      <c r="P98" s="45" t="s">
        <v>43</v>
      </c>
      <c r="Q98" s="45" t="s">
        <v>44</v>
      </c>
      <c r="R98" s="46" t="s">
        <v>45</v>
      </c>
      <c r="S98" s="43" t="s">
        <v>46</v>
      </c>
      <c r="W98" s="21">
        <f>6</f>
        <v>6</v>
      </c>
      <c r="X98" s="21">
        <v>3</v>
      </c>
    </row>
    <row r="99" spans="6:24">
      <c r="F99" s="45" t="s">
        <v>58</v>
      </c>
      <c r="G99" s="53">
        <f>((2+18)/(16+48))</f>
        <v>0.3125</v>
      </c>
      <c r="H99" s="53">
        <f>((17+23)/(16+48))</f>
        <v>0.625</v>
      </c>
      <c r="I99" s="53">
        <f>((16+35)/(16+48))</f>
        <v>0.796875</v>
      </c>
      <c r="J99" s="53">
        <f>((21+17)/(16+48))</f>
        <v>0.59375</v>
      </c>
      <c r="K99" s="53">
        <f>((19+60)/(16+48))</f>
        <v>1.234375</v>
      </c>
      <c r="L99" s="53">
        <f>((19+61)/(16+48))</f>
        <v>1.25</v>
      </c>
      <c r="M99" s="53">
        <f>((18+59)/(16+48))</f>
        <v>1.203125</v>
      </c>
      <c r="N99" s="53">
        <f>((17+64)/(16+48))</f>
        <v>1.265625</v>
      </c>
      <c r="O99" s="55">
        <v>0</v>
      </c>
      <c r="P99" s="55">
        <v>0</v>
      </c>
      <c r="Q99" s="55">
        <v>0</v>
      </c>
      <c r="R99" s="55">
        <v>0</v>
      </c>
      <c r="S99" s="56">
        <f>AVERAGE(G99:N99)</f>
        <v>0.91015625</v>
      </c>
      <c r="W99" s="21">
        <v>5</v>
      </c>
      <c r="X99" s="21">
        <v>34</v>
      </c>
    </row>
    <row r="100" spans="6:24">
      <c r="F100" s="45" t="s">
        <v>203</v>
      </c>
      <c r="G100" s="53">
        <f>((0+0)/(12+32))</f>
        <v>0</v>
      </c>
      <c r="H100" s="54">
        <f>42/68</f>
        <v>0.61764705882352944</v>
      </c>
      <c r="I100" s="54">
        <f>49/68</f>
        <v>0.72058823529411764</v>
      </c>
      <c r="J100" s="54">
        <f>55/68</f>
        <v>0.80882352941176472</v>
      </c>
      <c r="K100" s="53">
        <v>0.52</v>
      </c>
      <c r="L100" s="54">
        <f>23/52</f>
        <v>0.44230769230769229</v>
      </c>
      <c r="M100" s="54">
        <f>((6+3))/((12+24))</f>
        <v>0.25</v>
      </c>
      <c r="N100" s="53">
        <f>((12+2)/(12+32))</f>
        <v>0.31818181818181818</v>
      </c>
      <c r="O100" s="55">
        <v>0</v>
      </c>
      <c r="P100" s="55">
        <v>0</v>
      </c>
      <c r="Q100" s="55">
        <v>0</v>
      </c>
      <c r="R100" s="55">
        <v>0</v>
      </c>
      <c r="S100" s="56">
        <f t="shared" ref="S100:S108" si="19">AVERAGE(G100:N100)</f>
        <v>0.45969354175236532</v>
      </c>
      <c r="W100" s="21">
        <v>5</v>
      </c>
      <c r="X100" s="21">
        <v>5</v>
      </c>
    </row>
    <row r="101" spans="6:24">
      <c r="F101" s="45" t="s">
        <v>204</v>
      </c>
      <c r="G101" s="54">
        <f>((0+0))/((12+40))</f>
        <v>0</v>
      </c>
      <c r="H101" s="54">
        <f>((7+0))/((12+40))</f>
        <v>0.13461538461538461</v>
      </c>
      <c r="I101" s="54">
        <f>((4+0))/((12+40))</f>
        <v>7.6923076923076927E-2</v>
      </c>
      <c r="J101" s="54">
        <f>((8+0))/((12+40))</f>
        <v>0.15384615384615385</v>
      </c>
      <c r="K101" s="54">
        <f>((8+0))/((12+40))</f>
        <v>0.15384615384615385</v>
      </c>
      <c r="L101" s="54">
        <f>((11+34))/((12+40))</f>
        <v>0.86538461538461542</v>
      </c>
      <c r="M101" s="54">
        <f>((5+34))/((12+40))</f>
        <v>0.75</v>
      </c>
      <c r="N101" s="54">
        <f>((9+18))/((12+40))</f>
        <v>0.51923076923076927</v>
      </c>
      <c r="O101" s="55">
        <v>0</v>
      </c>
      <c r="P101" s="55">
        <v>0</v>
      </c>
      <c r="Q101" s="55">
        <v>0</v>
      </c>
      <c r="R101" s="55">
        <v>0</v>
      </c>
      <c r="S101" s="56">
        <f t="shared" si="19"/>
        <v>0.33173076923076922</v>
      </c>
      <c r="W101" s="21">
        <v>36</v>
      </c>
    </row>
    <row r="102" spans="6:24">
      <c r="F102" s="45" t="s">
        <v>205</v>
      </c>
      <c r="G102" s="54">
        <f>((0+0))/((12+16))</f>
        <v>0</v>
      </c>
      <c r="H102" s="54">
        <f>((0+5))/((12+16))</f>
        <v>0.17857142857142858</v>
      </c>
      <c r="I102" s="54">
        <f>((0+5))/((12+16))</f>
        <v>0.17857142857142858</v>
      </c>
      <c r="J102" s="54">
        <f>((0+5))/((12+16))</f>
        <v>0.17857142857142858</v>
      </c>
      <c r="K102" s="54">
        <f>((4+5))/((12+16))</f>
        <v>0.32142857142857145</v>
      </c>
      <c r="L102" s="54">
        <f>((1+5))/((12+16))</f>
        <v>0.21428571428571427</v>
      </c>
      <c r="M102" s="54">
        <f>((5+5))/((12+16))</f>
        <v>0.35714285714285715</v>
      </c>
      <c r="N102" s="54">
        <f>((4+9))/((12+16))</f>
        <v>0.4642857142857143</v>
      </c>
      <c r="O102" s="55">
        <v>0</v>
      </c>
      <c r="P102" s="55">
        <v>0</v>
      </c>
      <c r="Q102" s="55">
        <v>0</v>
      </c>
      <c r="R102" s="55">
        <v>0</v>
      </c>
      <c r="S102" s="56">
        <f t="shared" si="19"/>
        <v>0.23660714285714285</v>
      </c>
      <c r="W102" s="21">
        <v>17</v>
      </c>
    </row>
    <row r="103" spans="6:24">
      <c r="F103" s="45" t="s">
        <v>54</v>
      </c>
      <c r="G103" s="53">
        <f>25/36</f>
        <v>0.69444444444444442</v>
      </c>
      <c r="H103" s="53">
        <f>31/36</f>
        <v>0.86111111111111116</v>
      </c>
      <c r="I103" s="53">
        <f>28/36</f>
        <v>0.77777777777777779</v>
      </c>
      <c r="J103" s="54">
        <f>29/36</f>
        <v>0.80555555555555558</v>
      </c>
      <c r="K103" s="54">
        <f>30/32</f>
        <v>0.9375</v>
      </c>
      <c r="L103" s="54">
        <f>46/36</f>
        <v>1.2777777777777777</v>
      </c>
      <c r="M103" s="54">
        <f>29/32</f>
        <v>0.90625</v>
      </c>
      <c r="N103" s="53">
        <f>36/28</f>
        <v>1.2857142857142858</v>
      </c>
      <c r="O103" s="55">
        <v>0</v>
      </c>
      <c r="P103" s="55">
        <v>0</v>
      </c>
      <c r="Q103" s="55">
        <v>0</v>
      </c>
      <c r="R103" s="55">
        <v>0</v>
      </c>
      <c r="S103" s="56">
        <f t="shared" si="19"/>
        <v>0.94326636904761907</v>
      </c>
      <c r="W103" s="21">
        <v>17</v>
      </c>
    </row>
    <row r="104" spans="6:24">
      <c r="F104" s="45" t="s">
        <v>206</v>
      </c>
      <c r="G104" s="53">
        <f>21/52</f>
        <v>0.40384615384615385</v>
      </c>
      <c r="H104" s="54">
        <f>39/52</f>
        <v>0.75</v>
      </c>
      <c r="I104" s="54">
        <f>41/52</f>
        <v>0.78846153846153844</v>
      </c>
      <c r="J104" s="54">
        <f>47/48</f>
        <v>0.97916666666666663</v>
      </c>
      <c r="K104" s="54">
        <f>27/48</f>
        <v>0.5625</v>
      </c>
      <c r="L104" s="54">
        <f>43/48</f>
        <v>0.89583333333333337</v>
      </c>
      <c r="M104" s="54">
        <f>36/52</f>
        <v>0.69230769230769229</v>
      </c>
      <c r="N104" s="53">
        <f>53/52</f>
        <v>1.0192307692307692</v>
      </c>
      <c r="O104" s="55">
        <v>0</v>
      </c>
      <c r="P104" s="55">
        <v>0</v>
      </c>
      <c r="Q104" s="55">
        <v>0</v>
      </c>
      <c r="R104" s="55">
        <v>0</v>
      </c>
      <c r="S104" s="56">
        <f t="shared" si="19"/>
        <v>0.76141826923076916</v>
      </c>
      <c r="W104" s="21">
        <v>8</v>
      </c>
    </row>
    <row r="105" spans="6:24">
      <c r="F105" s="45" t="s">
        <v>92</v>
      </c>
      <c r="G105" s="53">
        <f>0/24</f>
        <v>0</v>
      </c>
      <c r="H105" s="54">
        <f>20/24</f>
        <v>0.83333333333333337</v>
      </c>
      <c r="I105" s="54">
        <f>23/24</f>
        <v>0.95833333333333337</v>
      </c>
      <c r="J105" s="54">
        <f>20/24</f>
        <v>0.83333333333333337</v>
      </c>
      <c r="K105" s="54">
        <f>13/24</f>
        <v>0.54166666666666663</v>
      </c>
      <c r="L105" s="54">
        <f>21/24</f>
        <v>0.875</v>
      </c>
      <c r="M105" s="54">
        <f>17/24</f>
        <v>0.70833333333333337</v>
      </c>
      <c r="N105" s="53">
        <f>27/24</f>
        <v>1.125</v>
      </c>
      <c r="O105" s="55">
        <v>0</v>
      </c>
      <c r="P105" s="55">
        <v>0</v>
      </c>
      <c r="Q105" s="55">
        <v>0</v>
      </c>
      <c r="R105" s="55">
        <v>0</v>
      </c>
      <c r="S105" s="56">
        <f t="shared" si="19"/>
        <v>0.73437499999999989</v>
      </c>
      <c r="W105" s="21">
        <v>8</v>
      </c>
    </row>
    <row r="106" spans="6:24">
      <c r="F106" s="45" t="s">
        <v>5</v>
      </c>
      <c r="G106" s="53">
        <f>28/8</f>
        <v>3.5</v>
      </c>
      <c r="H106" s="54">
        <f>15/8</f>
        <v>1.875</v>
      </c>
      <c r="I106" s="54">
        <f>22/8</f>
        <v>2.75</v>
      </c>
      <c r="J106" s="54">
        <f>14/8</f>
        <v>1.75</v>
      </c>
      <c r="K106" s="54">
        <f>13/8</f>
        <v>1.625</v>
      </c>
      <c r="L106" s="54">
        <f>11/8</f>
        <v>1.375</v>
      </c>
      <c r="M106" s="54">
        <f>17/8</f>
        <v>2.125</v>
      </c>
      <c r="N106" s="53">
        <f>13/8</f>
        <v>1.625</v>
      </c>
      <c r="O106" s="55">
        <v>0</v>
      </c>
      <c r="P106" s="55">
        <v>0</v>
      </c>
      <c r="Q106" s="55">
        <v>0</v>
      </c>
      <c r="R106" s="55">
        <v>0</v>
      </c>
      <c r="S106" s="56">
        <f t="shared" si="19"/>
        <v>2.078125</v>
      </c>
    </row>
    <row r="107" spans="6:24">
      <c r="F107" s="45" t="s">
        <v>207</v>
      </c>
      <c r="G107" s="53">
        <f>9/12</f>
        <v>0.75</v>
      </c>
      <c r="H107" s="53">
        <f>13/12</f>
        <v>1.0833333333333333</v>
      </c>
      <c r="I107" s="53">
        <f>8/12</f>
        <v>0.66666666666666663</v>
      </c>
      <c r="J107" s="53">
        <f>13/12</f>
        <v>1.0833333333333333</v>
      </c>
      <c r="K107" s="53">
        <f>13/12</f>
        <v>1.0833333333333333</v>
      </c>
      <c r="L107" s="53">
        <f>9/12</f>
        <v>0.75</v>
      </c>
      <c r="M107" s="53">
        <f>8/12</f>
        <v>0.66666666666666663</v>
      </c>
      <c r="N107" s="53">
        <f>8/12</f>
        <v>0.66666666666666663</v>
      </c>
      <c r="O107" s="55">
        <v>0</v>
      </c>
      <c r="P107" s="55">
        <v>0</v>
      </c>
      <c r="Q107" s="55">
        <v>0</v>
      </c>
      <c r="R107" s="55">
        <v>0</v>
      </c>
      <c r="S107" s="56">
        <f t="shared" si="19"/>
        <v>0.84375</v>
      </c>
    </row>
    <row r="108" spans="6:24">
      <c r="F108" s="45" t="s">
        <v>208</v>
      </c>
      <c r="G108" s="53">
        <f>0/8</f>
        <v>0</v>
      </c>
      <c r="H108" s="54">
        <f>4/8</f>
        <v>0.5</v>
      </c>
      <c r="I108" s="54">
        <f>8/8</f>
        <v>1</v>
      </c>
      <c r="J108" s="54">
        <f>8/8</f>
        <v>1</v>
      </c>
      <c r="K108" s="54">
        <v>1</v>
      </c>
      <c r="L108" s="54">
        <f>4/8</f>
        <v>0.5</v>
      </c>
      <c r="M108" s="54">
        <f>8/8</f>
        <v>1</v>
      </c>
      <c r="N108" s="53">
        <f>4/8</f>
        <v>0.5</v>
      </c>
      <c r="O108" s="55">
        <v>0</v>
      </c>
      <c r="P108" s="55">
        <v>0</v>
      </c>
      <c r="Q108" s="55">
        <v>0</v>
      </c>
      <c r="R108" s="55">
        <v>0</v>
      </c>
      <c r="S108" s="56">
        <f t="shared" si="19"/>
        <v>0.6875</v>
      </c>
    </row>
    <row r="109" spans="6:24">
      <c r="F109" s="45"/>
      <c r="G109" s="57">
        <f>AVERAGE(G99:G108)</f>
        <v>0.56607905982905982</v>
      </c>
      <c r="H109" s="57">
        <f t="shared" ref="H109:R109" si="20">AVERAGE(H99:H108)</f>
        <v>0.74586116497881194</v>
      </c>
      <c r="I109" s="57">
        <f t="shared" si="20"/>
        <v>0.87141970570279381</v>
      </c>
      <c r="J109" s="57">
        <f t="shared" si="20"/>
        <v>0.81863800007182363</v>
      </c>
      <c r="K109" s="57">
        <f t="shared" si="20"/>
        <v>0.79796497252747245</v>
      </c>
      <c r="L109" s="57">
        <f t="shared" si="20"/>
        <v>0.84455891330891331</v>
      </c>
      <c r="M109" s="57">
        <f t="shared" si="20"/>
        <v>0.86588255494505495</v>
      </c>
      <c r="N109" s="57">
        <f>AVERAGE(N99:N108)</f>
        <v>0.87889350233100227</v>
      </c>
      <c r="O109" s="57">
        <f t="shared" si="20"/>
        <v>0</v>
      </c>
      <c r="P109" s="57">
        <f t="shared" si="20"/>
        <v>0</v>
      </c>
      <c r="Q109" s="57">
        <f t="shared" si="20"/>
        <v>0</v>
      </c>
      <c r="R109" s="57">
        <f t="shared" si="20"/>
        <v>0</v>
      </c>
      <c r="S109" s="57">
        <f>AVERAGE(S99:S108)</f>
        <v>0.79866223421186655</v>
      </c>
    </row>
    <row r="110" spans="6:24">
      <c r="G110" s="71">
        <v>0.9</v>
      </c>
      <c r="H110" s="71">
        <v>0.9</v>
      </c>
      <c r="I110" s="71">
        <v>0.9</v>
      </c>
      <c r="J110" s="71">
        <v>0.9</v>
      </c>
      <c r="K110" s="71">
        <v>0.9</v>
      </c>
      <c r="L110" s="71">
        <v>0.9</v>
      </c>
      <c r="M110" s="71">
        <v>0.9</v>
      </c>
      <c r="N110" s="71">
        <v>0.9</v>
      </c>
      <c r="O110" s="71">
        <v>0.9</v>
      </c>
      <c r="P110" s="71">
        <v>0.9</v>
      </c>
      <c r="Q110" s="71">
        <v>0.9</v>
      </c>
      <c r="R110" s="71">
        <v>0.9</v>
      </c>
      <c r="S110" s="71">
        <v>0.9</v>
      </c>
    </row>
  </sheetData>
  <autoFilter ref="A1:AF56" xr:uid="{D6A557B2-07D7-4F20-8A0D-E1CB60D3CF26}">
    <filterColumn colId="6">
      <filters blank="1">
        <filter val="GOEHS Access"/>
        <filter val="TRUE"/>
      </filters>
    </filterColumn>
  </autoFilter>
  <mergeCells count="86">
    <mergeCell ref="AF69:AG69"/>
    <mergeCell ref="T2:U2"/>
    <mergeCell ref="X2:Y2"/>
    <mergeCell ref="Z2:AA2"/>
    <mergeCell ref="AB2:AC2"/>
    <mergeCell ref="AD2:AE2"/>
    <mergeCell ref="T65:U65"/>
    <mergeCell ref="X65:Y65"/>
    <mergeCell ref="T63:U63"/>
    <mergeCell ref="V65:W65"/>
    <mergeCell ref="V61:W61"/>
    <mergeCell ref="T69:U69"/>
    <mergeCell ref="V69:W69"/>
    <mergeCell ref="AD67:AE67"/>
    <mergeCell ref="Z65:AA65"/>
    <mergeCell ref="R2:S2"/>
    <mergeCell ref="J2:K2"/>
    <mergeCell ref="L2:M2"/>
    <mergeCell ref="N2:O2"/>
    <mergeCell ref="P2:Q2"/>
    <mergeCell ref="R67:S67"/>
    <mergeCell ref="T67:U67"/>
    <mergeCell ref="X67:Y67"/>
    <mergeCell ref="Z67:AA67"/>
    <mergeCell ref="AB67:AC67"/>
    <mergeCell ref="H67:I67"/>
    <mergeCell ref="J67:K67"/>
    <mergeCell ref="L67:M67"/>
    <mergeCell ref="N67:O67"/>
    <mergeCell ref="P67:Q67"/>
    <mergeCell ref="P61:Q61"/>
    <mergeCell ref="E64:F64"/>
    <mergeCell ref="AF61:AG61"/>
    <mergeCell ref="AF63:AG63"/>
    <mergeCell ref="AF65:AG65"/>
    <mergeCell ref="J65:K65"/>
    <mergeCell ref="L65:M65"/>
    <mergeCell ref="N65:O65"/>
    <mergeCell ref="H61:I61"/>
    <mergeCell ref="J61:K61"/>
    <mergeCell ref="L61:M61"/>
    <mergeCell ref="N61:O61"/>
    <mergeCell ref="X63:Y63"/>
    <mergeCell ref="V63:W63"/>
    <mergeCell ref="H69:I69"/>
    <mergeCell ref="J69:K69"/>
    <mergeCell ref="L69:M69"/>
    <mergeCell ref="N69:O69"/>
    <mergeCell ref="P69:Q69"/>
    <mergeCell ref="H63:I63"/>
    <mergeCell ref="J63:K63"/>
    <mergeCell ref="L63:M63"/>
    <mergeCell ref="P65:Q65"/>
    <mergeCell ref="R65:S65"/>
    <mergeCell ref="N63:O63"/>
    <mergeCell ref="P63:Q63"/>
    <mergeCell ref="R63:S63"/>
    <mergeCell ref="H65:I65"/>
    <mergeCell ref="AB61:AC61"/>
    <mergeCell ref="AD61:AE61"/>
    <mergeCell ref="AB65:AC65"/>
    <mergeCell ref="AD65:AE65"/>
    <mergeCell ref="Z63:AA63"/>
    <mergeCell ref="AB63:AC63"/>
    <mergeCell ref="AD63:AE63"/>
    <mergeCell ref="H70:I70"/>
    <mergeCell ref="J70:K70"/>
    <mergeCell ref="L70:M70"/>
    <mergeCell ref="N70:O70"/>
    <mergeCell ref="P70:Q70"/>
    <mergeCell ref="AB70:AC70"/>
    <mergeCell ref="AD70:AE70"/>
    <mergeCell ref="AF70:AG70"/>
    <mergeCell ref="V2:W2"/>
    <mergeCell ref="R70:S70"/>
    <mergeCell ref="T70:U70"/>
    <mergeCell ref="V70:W70"/>
    <mergeCell ref="X70:Y70"/>
    <mergeCell ref="Z70:AA70"/>
    <mergeCell ref="R69:S69"/>
    <mergeCell ref="V67:W67"/>
    <mergeCell ref="AF67:AG67"/>
    <mergeCell ref="R61:S61"/>
    <mergeCell ref="T61:U61"/>
    <mergeCell ref="X61:Y61"/>
    <mergeCell ref="Z61:AA61"/>
  </mergeCells>
  <phoneticPr fontId="2" type="noConversion"/>
  <conditionalFormatting sqref="G99:S108">
    <cfRule type="cellIs" dxfId="46" priority="4" operator="lessThan">
      <formula>0.9</formula>
    </cfRule>
    <cfRule type="cellIs" dxfId="45" priority="5" operator="greaterThanOrEqual">
      <formula>0.9</formula>
    </cfRule>
  </conditionalFormatting>
  <conditionalFormatting sqref="I4:I56">
    <cfRule type="cellIs" dxfId="44" priority="18" operator="equal">
      <formula>0</formula>
    </cfRule>
    <cfRule type="cellIs" dxfId="43" priority="19" operator="lessThan">
      <formula>4</formula>
    </cfRule>
    <cfRule type="cellIs" dxfId="42" priority="20" operator="greaterThanOrEqual">
      <formula>4</formula>
    </cfRule>
  </conditionalFormatting>
  <conditionalFormatting sqref="K4:K56 M4:M56">
    <cfRule type="cellIs" dxfId="41" priority="35" operator="equal">
      <formula>0</formula>
    </cfRule>
    <cfRule type="cellIs" dxfId="40" priority="38" operator="lessThan">
      <formula>4</formula>
    </cfRule>
    <cfRule type="cellIs" dxfId="39" priority="40" operator="greaterThanOrEqual">
      <formula>4</formula>
    </cfRule>
  </conditionalFormatting>
  <conditionalFormatting sqref="O4:O56">
    <cfRule type="cellIs" dxfId="38" priority="21" operator="equal">
      <formula>0</formula>
    </cfRule>
    <cfRule type="cellIs" dxfId="37" priority="22" operator="lessThan">
      <formula>4</formula>
    </cfRule>
    <cfRule type="cellIs" dxfId="36" priority="23" operator="greaterThanOrEqual">
      <formula>4</formula>
    </cfRule>
  </conditionalFormatting>
  <conditionalFormatting sqref="Q4:Q56">
    <cfRule type="cellIs" dxfId="35" priority="15" operator="equal">
      <formula>0</formula>
    </cfRule>
    <cfRule type="cellIs" dxfId="34" priority="16" operator="lessThan">
      <formula>4</formula>
    </cfRule>
    <cfRule type="cellIs" dxfId="33" priority="17" operator="greaterThanOrEqual">
      <formula>4</formula>
    </cfRule>
  </conditionalFormatting>
  <conditionalFormatting sqref="S4:S56">
    <cfRule type="cellIs" dxfId="32" priority="12" operator="equal">
      <formula>0</formula>
    </cfRule>
    <cfRule type="cellIs" dxfId="31" priority="13" operator="lessThan">
      <formula>4</formula>
    </cfRule>
    <cfRule type="cellIs" dxfId="30" priority="14" operator="greaterThanOrEqual">
      <formula>4</formula>
    </cfRule>
  </conditionalFormatting>
  <conditionalFormatting sqref="U4:U56">
    <cfRule type="cellIs" dxfId="29" priority="9" operator="equal">
      <formula>0</formula>
    </cfRule>
    <cfRule type="cellIs" dxfId="28" priority="10" operator="lessThan">
      <formula>4</formula>
    </cfRule>
    <cfRule type="cellIs" dxfId="27" priority="11" operator="greaterThanOrEqual">
      <formula>4</formula>
    </cfRule>
  </conditionalFormatting>
  <conditionalFormatting sqref="W4:W56">
    <cfRule type="cellIs" dxfId="26" priority="6" operator="equal">
      <formula>0</formula>
    </cfRule>
    <cfRule type="cellIs" dxfId="25" priority="7" operator="lessThan">
      <formula>4</formula>
    </cfRule>
    <cfRule type="cellIs" dxfId="24" priority="8" operator="greaterThanOrEqual">
      <formula>4</formula>
    </cfRule>
  </conditionalFormatting>
  <conditionalFormatting sqref="Y4:Y56">
    <cfRule type="cellIs" dxfId="23" priority="1" operator="equal">
      <formula>0</formula>
    </cfRule>
    <cfRule type="cellIs" dxfId="22" priority="2" operator="lessThan">
      <formula>4</formula>
    </cfRule>
    <cfRule type="cellIs" dxfId="21" priority="3" operator="greaterThanOrEqual">
      <formula>4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27F2E-B69F-425F-AB8A-5E0B312D4E21}">
  <sheetPr codeName="Sheet2" filterMode="1"/>
  <dimension ref="A1:AG75"/>
  <sheetViews>
    <sheetView tabSelected="1" zoomScale="85" zoomScaleNormal="85" workbookViewId="0">
      <selection activeCell="C8" sqref="C8"/>
    </sheetView>
  </sheetViews>
  <sheetFormatPr defaultColWidth="8.85546875" defaultRowHeight="12"/>
  <cols>
    <col min="1" max="1" width="4.85546875" style="7" customWidth="1"/>
    <col min="2" max="2" width="9.140625" style="9" bestFit="1" customWidth="1"/>
    <col min="3" max="3" width="31.140625" style="3" customWidth="1"/>
    <col min="4" max="4" width="21.28515625" style="3" customWidth="1"/>
    <col min="5" max="5" width="6.5703125" style="9" customWidth="1"/>
    <col min="6" max="6" width="8.85546875" style="9" customWidth="1"/>
    <col min="7" max="29" width="6.42578125" style="9" customWidth="1"/>
    <col min="30" max="30" width="6.42578125" style="3" customWidth="1"/>
    <col min="31" max="16384" width="8.85546875" style="3"/>
  </cols>
  <sheetData>
    <row r="1" spans="1:32">
      <c r="A1" s="16" t="s">
        <v>209</v>
      </c>
      <c r="B1" s="2" t="s">
        <v>30</v>
      </c>
      <c r="C1" s="1" t="s">
        <v>31</v>
      </c>
      <c r="D1" s="1" t="s">
        <v>32</v>
      </c>
      <c r="E1" s="2" t="s">
        <v>48</v>
      </c>
      <c r="F1" s="2" t="s">
        <v>210</v>
      </c>
      <c r="G1" s="35" t="s">
        <v>33</v>
      </c>
      <c r="H1" s="4" t="s">
        <v>34</v>
      </c>
      <c r="I1" s="35"/>
      <c r="J1" s="4" t="s">
        <v>35</v>
      </c>
      <c r="K1" s="35"/>
      <c r="L1" s="4" t="s">
        <v>36</v>
      </c>
      <c r="M1" s="35"/>
      <c r="N1" s="35" t="s">
        <v>37</v>
      </c>
      <c r="O1" s="35"/>
      <c r="P1" s="35" t="s">
        <v>38</v>
      </c>
      <c r="Q1" s="35"/>
      <c r="R1" s="35" t="s">
        <v>39</v>
      </c>
      <c r="S1" s="35"/>
      <c r="T1" s="35" t="s">
        <v>40</v>
      </c>
      <c r="U1" s="35"/>
      <c r="V1" s="35" t="s">
        <v>41</v>
      </c>
      <c r="W1" s="35"/>
      <c r="X1" s="35" t="s">
        <v>42</v>
      </c>
      <c r="Y1" s="35"/>
      <c r="Z1" s="35" t="s">
        <v>43</v>
      </c>
      <c r="AA1" s="35"/>
      <c r="AB1" s="35" t="s">
        <v>44</v>
      </c>
      <c r="AC1" s="35"/>
      <c r="AD1" s="35" t="s">
        <v>45</v>
      </c>
      <c r="AE1" s="35"/>
      <c r="AF1" s="35" t="s">
        <v>46</v>
      </c>
    </row>
    <row r="2" spans="1:32" ht="12" customHeight="1">
      <c r="A2" s="16"/>
      <c r="B2" s="2"/>
      <c r="C2" s="1"/>
      <c r="D2" s="1"/>
      <c r="E2" s="2"/>
      <c r="F2" s="2"/>
      <c r="G2" s="80" t="s">
        <v>34</v>
      </c>
      <c r="H2" s="80"/>
      <c r="I2" s="80" t="s">
        <v>35</v>
      </c>
      <c r="J2" s="80"/>
      <c r="K2" s="80" t="s">
        <v>36</v>
      </c>
      <c r="L2" s="80"/>
      <c r="M2" s="80" t="s">
        <v>37</v>
      </c>
      <c r="N2" s="80"/>
      <c r="O2" s="80" t="s">
        <v>38</v>
      </c>
      <c r="P2" s="80"/>
      <c r="Q2" s="80" t="s">
        <v>39</v>
      </c>
      <c r="R2" s="80"/>
      <c r="S2" s="22" t="s">
        <v>40</v>
      </c>
      <c r="T2" s="22"/>
      <c r="U2" s="22" t="s">
        <v>41</v>
      </c>
      <c r="V2" s="22"/>
      <c r="W2" s="80" t="s">
        <v>42</v>
      </c>
      <c r="X2" s="80"/>
      <c r="Y2" s="80" t="s">
        <v>43</v>
      </c>
      <c r="Z2" s="80"/>
      <c r="AA2" s="80" t="s">
        <v>44</v>
      </c>
      <c r="AB2" s="80"/>
      <c r="AC2" s="83" t="s">
        <v>45</v>
      </c>
      <c r="AD2" s="83"/>
      <c r="AE2" s="83" t="s">
        <v>46</v>
      </c>
      <c r="AF2" s="83"/>
    </row>
    <row r="3" spans="1:32">
      <c r="A3" s="16"/>
      <c r="B3" s="2"/>
      <c r="C3" s="1"/>
      <c r="D3" s="1"/>
      <c r="E3" s="2"/>
      <c r="F3" s="2"/>
      <c r="G3" s="22" t="s">
        <v>50</v>
      </c>
      <c r="H3" s="22" t="s">
        <v>51</v>
      </c>
      <c r="I3" s="22" t="s">
        <v>50</v>
      </c>
      <c r="J3" s="22" t="s">
        <v>51</v>
      </c>
      <c r="K3" s="22" t="s">
        <v>50</v>
      </c>
      <c r="L3" s="22" t="s">
        <v>51</v>
      </c>
      <c r="M3" s="22" t="s">
        <v>50</v>
      </c>
      <c r="N3" s="22" t="s">
        <v>51</v>
      </c>
      <c r="O3" s="22" t="s">
        <v>50</v>
      </c>
      <c r="P3" s="22" t="s">
        <v>51</v>
      </c>
      <c r="Q3" s="22" t="s">
        <v>50</v>
      </c>
      <c r="R3" s="22" t="s">
        <v>51</v>
      </c>
      <c r="S3" s="22" t="s">
        <v>50</v>
      </c>
      <c r="T3" s="22" t="s">
        <v>51</v>
      </c>
      <c r="U3" s="22" t="s">
        <v>50</v>
      </c>
      <c r="V3" s="22" t="s">
        <v>51</v>
      </c>
      <c r="W3" s="22" t="s">
        <v>50</v>
      </c>
      <c r="X3" s="22" t="s">
        <v>51</v>
      </c>
      <c r="Y3" s="22" t="s">
        <v>50</v>
      </c>
      <c r="Z3" s="22" t="s">
        <v>51</v>
      </c>
      <c r="AA3" s="22" t="s">
        <v>50</v>
      </c>
      <c r="AB3" s="22" t="s">
        <v>51</v>
      </c>
      <c r="AC3" s="22" t="s">
        <v>50</v>
      </c>
      <c r="AD3" s="4" t="s">
        <v>51</v>
      </c>
      <c r="AE3" s="22" t="s">
        <v>50</v>
      </c>
      <c r="AF3" s="4" t="s">
        <v>51</v>
      </c>
    </row>
    <row r="4" spans="1:32" hidden="1">
      <c r="A4" s="7">
        <v>1</v>
      </c>
      <c r="B4" s="6">
        <v>10050</v>
      </c>
      <c r="C4" s="5" t="s">
        <v>211</v>
      </c>
      <c r="D4" s="5" t="s">
        <v>212</v>
      </c>
      <c r="E4" s="6" t="s">
        <v>213</v>
      </c>
      <c r="F4" s="27" t="b">
        <v>1</v>
      </c>
      <c r="G4" s="9">
        <v>0</v>
      </c>
      <c r="H4" s="24">
        <v>0</v>
      </c>
      <c r="I4" s="9">
        <v>0</v>
      </c>
      <c r="J4" s="24">
        <v>0</v>
      </c>
      <c r="K4" s="9">
        <v>0</v>
      </c>
      <c r="L4" s="24">
        <v>0</v>
      </c>
      <c r="M4" s="9">
        <v>0</v>
      </c>
      <c r="N4" s="24">
        <v>0</v>
      </c>
      <c r="O4" s="9">
        <v>4</v>
      </c>
      <c r="P4" s="24">
        <v>1</v>
      </c>
      <c r="Q4" s="9">
        <v>0</v>
      </c>
      <c r="R4" s="24">
        <v>0</v>
      </c>
      <c r="S4" s="9">
        <v>0</v>
      </c>
      <c r="T4" s="24">
        <v>0</v>
      </c>
      <c r="U4" s="9">
        <v>0</v>
      </c>
      <c r="V4" s="24">
        <v>0</v>
      </c>
      <c r="W4" s="9">
        <v>4</v>
      </c>
      <c r="X4" s="24"/>
      <c r="Y4" s="9">
        <v>4</v>
      </c>
      <c r="Z4" s="24"/>
      <c r="AA4" s="9">
        <v>4</v>
      </c>
      <c r="AB4" s="24"/>
      <c r="AC4" s="9">
        <v>4</v>
      </c>
      <c r="AD4" s="8"/>
      <c r="AE4" s="9">
        <f>4*12</f>
        <v>48</v>
      </c>
      <c r="AF4" s="63">
        <f>SUM(H4,J4,L4,N4,P4,R4,T4,V4,X4,Z4,AB4,AD4)/(12*4)</f>
        <v>2.0833333333333332E-2</v>
      </c>
    </row>
    <row r="5" spans="1:32" hidden="1">
      <c r="A5" s="7">
        <v>2</v>
      </c>
      <c r="B5" s="6">
        <v>1510</v>
      </c>
      <c r="C5" s="5" t="s">
        <v>214</v>
      </c>
      <c r="D5" s="5" t="s">
        <v>215</v>
      </c>
      <c r="E5" s="6" t="s">
        <v>213</v>
      </c>
      <c r="F5" s="27" t="b">
        <v>0</v>
      </c>
      <c r="G5" s="9">
        <v>0</v>
      </c>
      <c r="H5" s="24">
        <v>0</v>
      </c>
      <c r="I5" s="9">
        <v>0</v>
      </c>
      <c r="J5" s="24">
        <v>0</v>
      </c>
      <c r="K5" s="9">
        <v>0</v>
      </c>
      <c r="L5" s="24">
        <v>0</v>
      </c>
      <c r="M5" s="9">
        <v>0</v>
      </c>
      <c r="N5" s="24">
        <v>0</v>
      </c>
      <c r="O5" s="9">
        <v>0</v>
      </c>
      <c r="P5" s="24">
        <v>0</v>
      </c>
      <c r="Q5" s="9">
        <v>0</v>
      </c>
      <c r="R5" s="24">
        <v>0</v>
      </c>
      <c r="S5" s="9">
        <v>0</v>
      </c>
      <c r="T5" s="24">
        <v>0</v>
      </c>
      <c r="U5" s="9">
        <v>0</v>
      </c>
      <c r="V5" s="24">
        <v>0</v>
      </c>
      <c r="W5" s="9">
        <v>4</v>
      </c>
      <c r="X5" s="24"/>
      <c r="Y5" s="9">
        <v>4</v>
      </c>
      <c r="Z5" s="24"/>
      <c r="AA5" s="9">
        <v>4</v>
      </c>
      <c r="AB5" s="24"/>
      <c r="AC5" s="9">
        <v>4</v>
      </c>
      <c r="AD5" s="8"/>
      <c r="AE5" s="9">
        <f t="shared" ref="AE5:AE54" si="0">4*12</f>
        <v>48</v>
      </c>
      <c r="AF5" s="63">
        <f t="shared" ref="AF5:AF54" si="1">SUM(H5,J5,L5,N5,P5,R5,T5,V5,X5,Z5,AB5,AD5)/(12*4)</f>
        <v>0</v>
      </c>
    </row>
    <row r="6" spans="1:32" hidden="1">
      <c r="A6" s="7">
        <v>3</v>
      </c>
      <c r="B6" s="6">
        <v>1295</v>
      </c>
      <c r="C6" s="5" t="s">
        <v>216</v>
      </c>
      <c r="D6" s="5" t="s">
        <v>217</v>
      </c>
      <c r="E6" s="6" t="s">
        <v>218</v>
      </c>
      <c r="F6" s="27" t="b">
        <v>1</v>
      </c>
      <c r="G6" s="9">
        <v>4</v>
      </c>
      <c r="H6" s="24">
        <v>0</v>
      </c>
      <c r="I6" s="9">
        <v>4</v>
      </c>
      <c r="J6" s="24">
        <v>0</v>
      </c>
      <c r="K6" s="9">
        <v>4</v>
      </c>
      <c r="L6" s="24">
        <v>0</v>
      </c>
      <c r="M6" s="9">
        <v>4</v>
      </c>
      <c r="N6" s="24">
        <v>0</v>
      </c>
      <c r="O6" s="9">
        <v>4</v>
      </c>
      <c r="P6" s="24">
        <v>0</v>
      </c>
      <c r="Q6" s="9">
        <v>4</v>
      </c>
      <c r="R6" s="24">
        <v>5</v>
      </c>
      <c r="S6" s="9">
        <v>4</v>
      </c>
      <c r="T6" s="24">
        <v>0</v>
      </c>
      <c r="U6" s="9">
        <v>4</v>
      </c>
      <c r="V6" s="24">
        <v>0</v>
      </c>
      <c r="W6" s="9">
        <v>4</v>
      </c>
      <c r="X6" s="24"/>
      <c r="Y6" s="9">
        <v>4</v>
      </c>
      <c r="Z6" s="24"/>
      <c r="AA6" s="9">
        <v>4</v>
      </c>
      <c r="AB6" s="24"/>
      <c r="AC6" s="9">
        <v>4</v>
      </c>
      <c r="AD6" s="8"/>
      <c r="AE6" s="9">
        <f t="shared" si="0"/>
        <v>48</v>
      </c>
      <c r="AF6" s="63">
        <f t="shared" si="1"/>
        <v>0.10416666666666667</v>
      </c>
    </row>
    <row r="7" spans="1:32" hidden="1">
      <c r="A7" s="7">
        <v>4</v>
      </c>
      <c r="B7" s="6">
        <v>12067</v>
      </c>
      <c r="C7" s="5" t="s">
        <v>219</v>
      </c>
      <c r="D7" s="5" t="s">
        <v>220</v>
      </c>
      <c r="E7" s="6" t="s">
        <v>72</v>
      </c>
      <c r="F7" s="27" t="b">
        <v>1</v>
      </c>
      <c r="G7" s="9">
        <v>0</v>
      </c>
      <c r="H7" s="24">
        <v>0</v>
      </c>
      <c r="I7" s="9">
        <v>4</v>
      </c>
      <c r="J7" s="24">
        <v>0</v>
      </c>
      <c r="K7" s="9">
        <v>4</v>
      </c>
      <c r="L7" s="24">
        <v>0</v>
      </c>
      <c r="M7" s="9">
        <v>4</v>
      </c>
      <c r="N7" s="24">
        <v>0</v>
      </c>
      <c r="O7" s="9">
        <v>4</v>
      </c>
      <c r="P7" s="24">
        <v>0</v>
      </c>
      <c r="Q7" s="9">
        <v>4</v>
      </c>
      <c r="R7" s="24">
        <v>3</v>
      </c>
      <c r="S7" s="9">
        <v>4</v>
      </c>
      <c r="T7" s="24">
        <v>4</v>
      </c>
      <c r="U7" s="9">
        <v>4</v>
      </c>
      <c r="V7" s="24">
        <v>0</v>
      </c>
      <c r="W7" s="9">
        <v>4</v>
      </c>
      <c r="X7" s="24"/>
      <c r="Y7" s="9">
        <v>4</v>
      </c>
      <c r="Z7" s="24"/>
      <c r="AA7" s="9">
        <v>4</v>
      </c>
      <c r="AB7" s="24"/>
      <c r="AC7" s="9">
        <v>4</v>
      </c>
      <c r="AD7" s="8"/>
      <c r="AE7" s="9">
        <f t="shared" si="0"/>
        <v>48</v>
      </c>
      <c r="AF7" s="63">
        <f t="shared" si="1"/>
        <v>0.14583333333333334</v>
      </c>
    </row>
    <row r="8" spans="1:32">
      <c r="A8" s="7">
        <v>5</v>
      </c>
      <c r="B8" s="6">
        <v>3141</v>
      </c>
      <c r="C8" s="5" t="s">
        <v>221</v>
      </c>
      <c r="D8" s="5" t="s">
        <v>217</v>
      </c>
      <c r="E8" s="6" t="s">
        <v>59</v>
      </c>
      <c r="F8" s="27" t="b">
        <v>1</v>
      </c>
      <c r="G8" s="9">
        <v>0</v>
      </c>
      <c r="H8" s="24">
        <v>0</v>
      </c>
      <c r="I8" s="9">
        <v>4</v>
      </c>
      <c r="J8" s="24">
        <v>0</v>
      </c>
      <c r="K8" s="9">
        <v>4</v>
      </c>
      <c r="L8" s="24">
        <v>4</v>
      </c>
      <c r="M8" s="9">
        <v>4</v>
      </c>
      <c r="N8" s="24">
        <v>4</v>
      </c>
      <c r="O8" s="9">
        <v>4</v>
      </c>
      <c r="P8" s="24">
        <v>4</v>
      </c>
      <c r="Q8" s="9">
        <v>4</v>
      </c>
      <c r="R8" s="24">
        <v>4</v>
      </c>
      <c r="S8" s="9">
        <v>4</v>
      </c>
      <c r="T8" s="24">
        <v>4</v>
      </c>
      <c r="U8" s="9">
        <v>4</v>
      </c>
      <c r="V8" s="24">
        <v>4</v>
      </c>
      <c r="W8" s="9">
        <v>4</v>
      </c>
      <c r="X8" s="24"/>
      <c r="Y8" s="9">
        <v>4</v>
      </c>
      <c r="Z8" s="24"/>
      <c r="AA8" s="9">
        <v>4</v>
      </c>
      <c r="AB8" s="24"/>
      <c r="AC8" s="9">
        <v>4</v>
      </c>
      <c r="AD8" s="8"/>
      <c r="AE8" s="9">
        <f t="shared" si="0"/>
        <v>48</v>
      </c>
      <c r="AF8" s="63">
        <f t="shared" si="1"/>
        <v>0.5</v>
      </c>
    </row>
    <row r="9" spans="1:32" hidden="1">
      <c r="A9" s="7">
        <v>6</v>
      </c>
      <c r="B9" s="6">
        <v>10055</v>
      </c>
      <c r="C9" s="5" t="s">
        <v>222</v>
      </c>
      <c r="D9" s="5" t="s">
        <v>223</v>
      </c>
      <c r="E9" s="6" t="s">
        <v>213</v>
      </c>
      <c r="F9" s="27" t="b">
        <v>0</v>
      </c>
      <c r="G9" s="9">
        <v>0</v>
      </c>
      <c r="H9" s="24">
        <v>0</v>
      </c>
      <c r="I9" s="9">
        <v>0</v>
      </c>
      <c r="J9" s="24">
        <v>0</v>
      </c>
      <c r="K9" s="9">
        <v>0</v>
      </c>
      <c r="L9" s="24">
        <v>0</v>
      </c>
      <c r="M9" s="9">
        <v>0</v>
      </c>
      <c r="N9" s="24">
        <v>0</v>
      </c>
      <c r="O9" s="9">
        <v>0</v>
      </c>
      <c r="P9" s="24">
        <v>0</v>
      </c>
      <c r="Q9" s="9">
        <v>0</v>
      </c>
      <c r="R9" s="24">
        <v>0</v>
      </c>
      <c r="S9" s="9">
        <v>0</v>
      </c>
      <c r="T9" s="24">
        <v>0</v>
      </c>
      <c r="U9" s="9">
        <v>0</v>
      </c>
      <c r="V9" s="24">
        <v>0</v>
      </c>
      <c r="W9" s="9">
        <v>4</v>
      </c>
      <c r="X9" s="24"/>
      <c r="Y9" s="9">
        <v>4</v>
      </c>
      <c r="Z9" s="24"/>
      <c r="AA9" s="9">
        <v>4</v>
      </c>
      <c r="AB9" s="24"/>
      <c r="AC9" s="9">
        <v>4</v>
      </c>
      <c r="AD9" s="8"/>
      <c r="AE9" s="9">
        <f t="shared" si="0"/>
        <v>48</v>
      </c>
      <c r="AF9" s="63">
        <f t="shared" si="1"/>
        <v>0</v>
      </c>
    </row>
    <row r="10" spans="1:32">
      <c r="A10" s="7">
        <v>7</v>
      </c>
      <c r="B10" s="6">
        <v>1312</v>
      </c>
      <c r="C10" s="5" t="s">
        <v>224</v>
      </c>
      <c r="D10" s="5" t="s">
        <v>217</v>
      </c>
      <c r="E10" s="6" t="s">
        <v>225</v>
      </c>
      <c r="F10" s="27" t="b">
        <v>1</v>
      </c>
      <c r="G10" s="9">
        <v>0</v>
      </c>
      <c r="H10" s="24">
        <v>0</v>
      </c>
      <c r="I10" s="9">
        <v>4</v>
      </c>
      <c r="J10" s="24">
        <v>6</v>
      </c>
      <c r="K10" s="9">
        <v>4</v>
      </c>
      <c r="L10" s="24">
        <v>7</v>
      </c>
      <c r="M10" s="9">
        <v>4</v>
      </c>
      <c r="N10" s="24">
        <v>4</v>
      </c>
      <c r="O10" s="9">
        <v>4</v>
      </c>
      <c r="P10" s="24">
        <v>8</v>
      </c>
      <c r="Q10" s="9">
        <v>4</v>
      </c>
      <c r="R10" s="24">
        <v>9</v>
      </c>
      <c r="S10" s="9">
        <v>4</v>
      </c>
      <c r="T10" s="24">
        <v>6</v>
      </c>
      <c r="U10" s="9">
        <v>4</v>
      </c>
      <c r="V10" s="24">
        <v>6</v>
      </c>
      <c r="W10" s="9">
        <v>4</v>
      </c>
      <c r="X10" s="24">
        <v>1</v>
      </c>
      <c r="Y10" s="9">
        <v>4</v>
      </c>
      <c r="Z10" s="24"/>
      <c r="AA10" s="9">
        <v>4</v>
      </c>
      <c r="AB10" s="24"/>
      <c r="AC10" s="9">
        <v>4</v>
      </c>
      <c r="AD10" s="8"/>
      <c r="AE10" s="9">
        <f t="shared" si="0"/>
        <v>48</v>
      </c>
      <c r="AF10" s="63">
        <f>SUM(H10,J10,L10,N10,P10,R10,T10,V10,X10,Z10,AB10,AD10)/(12*4)</f>
        <v>0.97916666666666663</v>
      </c>
    </row>
    <row r="11" spans="1:32" hidden="1">
      <c r="A11" s="7">
        <v>8</v>
      </c>
      <c r="B11" s="6">
        <v>11926</v>
      </c>
      <c r="C11" s="5" t="s">
        <v>226</v>
      </c>
      <c r="D11" s="5" t="s">
        <v>212</v>
      </c>
      <c r="E11" s="6" t="s">
        <v>213</v>
      </c>
      <c r="F11" s="27" t="b">
        <v>0</v>
      </c>
      <c r="G11" s="9">
        <v>0</v>
      </c>
      <c r="H11" s="24">
        <v>0</v>
      </c>
      <c r="I11" s="9">
        <v>0</v>
      </c>
      <c r="J11" s="24">
        <v>0</v>
      </c>
      <c r="K11" s="9">
        <v>0</v>
      </c>
      <c r="L11" s="24">
        <v>0</v>
      </c>
      <c r="M11" s="9">
        <v>0</v>
      </c>
      <c r="N11" s="24">
        <v>0</v>
      </c>
      <c r="O11" s="9">
        <v>0</v>
      </c>
      <c r="P11" s="24">
        <v>0</v>
      </c>
      <c r="Q11" s="9">
        <v>0</v>
      </c>
      <c r="R11" s="24">
        <v>0</v>
      </c>
      <c r="S11" s="9">
        <v>0</v>
      </c>
      <c r="T11" s="24">
        <v>0</v>
      </c>
      <c r="U11" s="9">
        <v>0</v>
      </c>
      <c r="V11" s="24">
        <v>0</v>
      </c>
      <c r="W11" s="9">
        <v>4</v>
      </c>
      <c r="X11" s="24"/>
      <c r="Y11" s="9">
        <v>4</v>
      </c>
      <c r="Z11" s="24"/>
      <c r="AA11" s="9">
        <v>4</v>
      </c>
      <c r="AB11" s="24"/>
      <c r="AC11" s="9">
        <v>4</v>
      </c>
      <c r="AD11" s="8"/>
      <c r="AE11" s="9">
        <f t="shared" si="0"/>
        <v>48</v>
      </c>
      <c r="AF11" s="63">
        <f t="shared" si="1"/>
        <v>0</v>
      </c>
    </row>
    <row r="12" spans="1:32" hidden="1">
      <c r="A12" s="7">
        <v>9</v>
      </c>
      <c r="B12" s="6">
        <v>3152</v>
      </c>
      <c r="C12" s="5" t="s">
        <v>227</v>
      </c>
      <c r="D12" s="5" t="s">
        <v>217</v>
      </c>
      <c r="E12" s="6" t="s">
        <v>147</v>
      </c>
      <c r="F12" s="27" t="b">
        <v>1</v>
      </c>
      <c r="G12" s="9">
        <v>4</v>
      </c>
      <c r="H12" s="24">
        <v>0</v>
      </c>
      <c r="I12" s="9">
        <v>4</v>
      </c>
      <c r="J12" s="24">
        <v>0</v>
      </c>
      <c r="K12" s="9">
        <v>4</v>
      </c>
      <c r="L12" s="24">
        <v>0</v>
      </c>
      <c r="M12" s="9">
        <v>4</v>
      </c>
      <c r="N12" s="24">
        <v>0</v>
      </c>
      <c r="O12" s="9">
        <v>4</v>
      </c>
      <c r="P12" s="24">
        <v>0</v>
      </c>
      <c r="Q12" s="9">
        <v>4</v>
      </c>
      <c r="R12" s="24">
        <v>1</v>
      </c>
      <c r="S12" s="9">
        <v>4</v>
      </c>
      <c r="T12" s="24">
        <v>5</v>
      </c>
      <c r="U12" s="9">
        <v>4</v>
      </c>
      <c r="V12" s="24">
        <v>0</v>
      </c>
      <c r="W12" s="9">
        <v>4</v>
      </c>
      <c r="X12" s="24"/>
      <c r="Y12" s="9">
        <v>4</v>
      </c>
      <c r="Z12" s="24"/>
      <c r="AA12" s="9">
        <v>4</v>
      </c>
      <c r="AB12" s="24"/>
      <c r="AC12" s="9">
        <v>4</v>
      </c>
      <c r="AD12" s="8"/>
      <c r="AE12" s="9">
        <f t="shared" si="0"/>
        <v>48</v>
      </c>
      <c r="AF12" s="63">
        <f t="shared" si="1"/>
        <v>0.125</v>
      </c>
    </row>
    <row r="13" spans="1:32" hidden="1">
      <c r="A13" s="7">
        <v>10</v>
      </c>
      <c r="B13" s="6">
        <v>1234</v>
      </c>
      <c r="C13" s="5" t="s">
        <v>228</v>
      </c>
      <c r="D13" s="5" t="s">
        <v>217</v>
      </c>
      <c r="E13" s="6" t="s">
        <v>109</v>
      </c>
      <c r="F13" s="27" t="b">
        <v>1</v>
      </c>
      <c r="G13" s="9">
        <v>4</v>
      </c>
      <c r="H13" s="24">
        <v>0</v>
      </c>
      <c r="I13" s="9">
        <v>4</v>
      </c>
      <c r="J13" s="24">
        <v>0</v>
      </c>
      <c r="K13" s="9">
        <v>4</v>
      </c>
      <c r="L13" s="24">
        <v>0</v>
      </c>
      <c r="M13" s="9">
        <v>4</v>
      </c>
      <c r="N13" s="24">
        <v>0</v>
      </c>
      <c r="O13" s="9">
        <v>4</v>
      </c>
      <c r="P13" s="24">
        <v>0</v>
      </c>
      <c r="Q13" s="9">
        <v>4</v>
      </c>
      <c r="R13" s="24">
        <v>4</v>
      </c>
      <c r="S13" s="9">
        <v>4</v>
      </c>
      <c r="T13" s="24">
        <v>0</v>
      </c>
      <c r="U13" s="9">
        <v>4</v>
      </c>
      <c r="V13" s="24">
        <v>0</v>
      </c>
      <c r="W13" s="9">
        <v>4</v>
      </c>
      <c r="X13" s="24"/>
      <c r="Y13" s="9">
        <v>4</v>
      </c>
      <c r="Z13" s="24"/>
      <c r="AA13" s="9">
        <v>4</v>
      </c>
      <c r="AB13" s="24"/>
      <c r="AC13" s="9">
        <v>4</v>
      </c>
      <c r="AD13" s="8"/>
      <c r="AE13" s="9">
        <f t="shared" si="0"/>
        <v>48</v>
      </c>
      <c r="AF13" s="63">
        <f t="shared" si="1"/>
        <v>8.3333333333333329E-2</v>
      </c>
    </row>
    <row r="14" spans="1:32" hidden="1">
      <c r="A14" s="7">
        <v>11</v>
      </c>
      <c r="B14" s="6">
        <v>1276</v>
      </c>
      <c r="C14" s="5" t="s">
        <v>229</v>
      </c>
      <c r="D14" s="5" t="s">
        <v>230</v>
      </c>
      <c r="E14" s="6" t="s">
        <v>109</v>
      </c>
      <c r="F14" s="27" t="b">
        <v>1</v>
      </c>
      <c r="G14" s="9">
        <v>4</v>
      </c>
      <c r="H14" s="24">
        <v>0</v>
      </c>
      <c r="I14" s="9">
        <v>4</v>
      </c>
      <c r="J14" s="24">
        <v>0</v>
      </c>
      <c r="K14" s="9">
        <v>4</v>
      </c>
      <c r="L14" s="24">
        <v>0</v>
      </c>
      <c r="M14" s="9">
        <v>4</v>
      </c>
      <c r="N14" s="24">
        <v>0</v>
      </c>
      <c r="O14" s="9">
        <v>4</v>
      </c>
      <c r="P14" s="24">
        <v>0</v>
      </c>
      <c r="Q14" s="9">
        <v>4</v>
      </c>
      <c r="R14" s="24">
        <v>1</v>
      </c>
      <c r="S14" s="9">
        <v>4</v>
      </c>
      <c r="T14" s="24">
        <v>0</v>
      </c>
      <c r="U14" s="9">
        <v>4</v>
      </c>
      <c r="V14" s="24">
        <v>0</v>
      </c>
      <c r="W14" s="9">
        <v>4</v>
      </c>
      <c r="X14" s="24"/>
      <c r="Y14" s="9">
        <v>4</v>
      </c>
      <c r="Z14" s="24"/>
      <c r="AA14" s="9">
        <v>4</v>
      </c>
      <c r="AB14" s="24"/>
      <c r="AC14" s="9">
        <v>4</v>
      </c>
      <c r="AD14" s="8"/>
      <c r="AE14" s="9">
        <f t="shared" si="0"/>
        <v>48</v>
      </c>
      <c r="AF14" s="63">
        <f t="shared" si="1"/>
        <v>2.0833333333333332E-2</v>
      </c>
    </row>
    <row r="15" spans="1:32" hidden="1">
      <c r="A15" s="7">
        <v>12</v>
      </c>
      <c r="B15" s="6">
        <v>1483</v>
      </c>
      <c r="C15" s="5" t="s">
        <v>231</v>
      </c>
      <c r="D15" s="5" t="s">
        <v>217</v>
      </c>
      <c r="E15" s="6" t="s">
        <v>109</v>
      </c>
      <c r="F15" s="27" t="b">
        <v>1</v>
      </c>
      <c r="G15" s="9">
        <v>4</v>
      </c>
      <c r="H15" s="24">
        <v>0</v>
      </c>
      <c r="I15" s="9">
        <v>4</v>
      </c>
      <c r="J15" s="24">
        <v>0</v>
      </c>
      <c r="K15" s="9">
        <v>4</v>
      </c>
      <c r="L15" s="24">
        <v>0</v>
      </c>
      <c r="M15" s="9">
        <v>4</v>
      </c>
      <c r="N15" s="24">
        <v>0</v>
      </c>
      <c r="O15" s="9">
        <v>4</v>
      </c>
      <c r="P15" s="24">
        <v>0</v>
      </c>
      <c r="Q15" s="9">
        <v>4</v>
      </c>
      <c r="R15" s="24">
        <v>4</v>
      </c>
      <c r="S15" s="9">
        <v>4</v>
      </c>
      <c r="T15" s="24">
        <v>3</v>
      </c>
      <c r="U15" s="9">
        <v>4</v>
      </c>
      <c r="V15" s="24">
        <v>2</v>
      </c>
      <c r="W15" s="9">
        <v>4</v>
      </c>
      <c r="X15" s="24"/>
      <c r="Y15" s="9">
        <v>4</v>
      </c>
      <c r="Z15" s="24"/>
      <c r="AA15" s="9">
        <v>4</v>
      </c>
      <c r="AB15" s="24"/>
      <c r="AC15" s="9">
        <v>4</v>
      </c>
      <c r="AD15" s="8"/>
      <c r="AE15" s="9">
        <f t="shared" si="0"/>
        <v>48</v>
      </c>
      <c r="AF15" s="63">
        <f t="shared" si="1"/>
        <v>0.1875</v>
      </c>
    </row>
    <row r="16" spans="1:32" hidden="1">
      <c r="A16" s="7">
        <v>13</v>
      </c>
      <c r="B16" s="6">
        <v>1373</v>
      </c>
      <c r="C16" s="5" t="s">
        <v>232</v>
      </c>
      <c r="D16" s="5" t="s">
        <v>230</v>
      </c>
      <c r="E16" s="6" t="s">
        <v>77</v>
      </c>
      <c r="F16" s="27" t="b">
        <v>1</v>
      </c>
      <c r="G16" s="9">
        <v>4</v>
      </c>
      <c r="H16" s="24">
        <v>0</v>
      </c>
      <c r="I16" s="9">
        <v>4</v>
      </c>
      <c r="J16" s="24">
        <v>0</v>
      </c>
      <c r="K16" s="9">
        <v>4</v>
      </c>
      <c r="L16" s="24">
        <v>0</v>
      </c>
      <c r="M16" s="9">
        <v>4</v>
      </c>
      <c r="N16" s="24">
        <v>0</v>
      </c>
      <c r="O16" s="9">
        <v>4</v>
      </c>
      <c r="P16" s="24">
        <v>0</v>
      </c>
      <c r="Q16" s="9">
        <v>4</v>
      </c>
      <c r="R16" s="24">
        <v>3</v>
      </c>
      <c r="S16" s="9">
        <v>4</v>
      </c>
      <c r="T16" s="24">
        <v>7</v>
      </c>
      <c r="U16" s="9">
        <v>4</v>
      </c>
      <c r="V16" s="24">
        <v>6</v>
      </c>
      <c r="W16" s="9">
        <v>4</v>
      </c>
      <c r="X16" s="24">
        <v>4</v>
      </c>
      <c r="Y16" s="9">
        <v>4</v>
      </c>
      <c r="Z16" s="24"/>
      <c r="AA16" s="9">
        <v>4</v>
      </c>
      <c r="AB16" s="24"/>
      <c r="AC16" s="9">
        <v>4</v>
      </c>
      <c r="AD16" s="8"/>
      <c r="AE16" s="9">
        <f t="shared" si="0"/>
        <v>48</v>
      </c>
      <c r="AF16" s="63">
        <f t="shared" si="1"/>
        <v>0.41666666666666669</v>
      </c>
    </row>
    <row r="17" spans="1:32" hidden="1">
      <c r="A17" s="7">
        <v>14</v>
      </c>
      <c r="B17" s="6">
        <v>12291</v>
      </c>
      <c r="C17" s="5" t="s">
        <v>233</v>
      </c>
      <c r="D17" s="5" t="s">
        <v>217</v>
      </c>
      <c r="E17" s="6" t="s">
        <v>81</v>
      </c>
      <c r="F17" s="27" t="b">
        <v>1</v>
      </c>
      <c r="G17" s="9">
        <v>4</v>
      </c>
      <c r="H17" s="24">
        <v>0</v>
      </c>
      <c r="I17" s="9">
        <v>4</v>
      </c>
      <c r="J17" s="24">
        <v>0</v>
      </c>
      <c r="K17" s="9">
        <v>4</v>
      </c>
      <c r="L17" s="24">
        <v>0</v>
      </c>
      <c r="M17" s="9">
        <v>4</v>
      </c>
      <c r="N17" s="24">
        <v>0</v>
      </c>
      <c r="O17" s="9">
        <v>4</v>
      </c>
      <c r="P17" s="24">
        <v>0</v>
      </c>
      <c r="Q17" s="9">
        <v>4</v>
      </c>
      <c r="R17" s="24">
        <v>0</v>
      </c>
      <c r="S17" s="9">
        <v>4</v>
      </c>
      <c r="T17" s="24">
        <v>0</v>
      </c>
      <c r="U17" s="9">
        <v>4</v>
      </c>
      <c r="V17" s="24">
        <v>0</v>
      </c>
      <c r="W17" s="9">
        <v>4</v>
      </c>
      <c r="X17" s="24"/>
      <c r="Y17" s="9">
        <v>4</v>
      </c>
      <c r="Z17" s="24"/>
      <c r="AA17" s="9">
        <v>4</v>
      </c>
      <c r="AB17" s="24"/>
      <c r="AC17" s="9">
        <v>4</v>
      </c>
      <c r="AD17" s="8"/>
      <c r="AE17" s="9">
        <f t="shared" si="0"/>
        <v>48</v>
      </c>
      <c r="AF17" s="63">
        <f t="shared" si="1"/>
        <v>0</v>
      </c>
    </row>
    <row r="18" spans="1:32" hidden="1">
      <c r="A18" s="7">
        <v>15</v>
      </c>
      <c r="B18" s="6">
        <v>10588</v>
      </c>
      <c r="C18" s="5" t="s">
        <v>234</v>
      </c>
      <c r="D18" s="5" t="s">
        <v>230</v>
      </c>
      <c r="E18" s="6" t="s">
        <v>213</v>
      </c>
      <c r="F18" s="27" t="b">
        <v>0</v>
      </c>
      <c r="G18" s="9">
        <v>0</v>
      </c>
      <c r="H18" s="24">
        <v>0</v>
      </c>
      <c r="I18" s="9">
        <v>0</v>
      </c>
      <c r="J18" s="24">
        <v>0</v>
      </c>
      <c r="K18" s="9">
        <v>0</v>
      </c>
      <c r="L18" s="24">
        <v>0</v>
      </c>
      <c r="M18" s="9">
        <v>0</v>
      </c>
      <c r="N18" s="24">
        <v>0</v>
      </c>
      <c r="O18" s="9">
        <v>0</v>
      </c>
      <c r="P18" s="24">
        <v>0</v>
      </c>
      <c r="Q18" s="9">
        <v>0</v>
      </c>
      <c r="R18" s="24">
        <v>0</v>
      </c>
      <c r="S18" s="9">
        <v>0</v>
      </c>
      <c r="T18" s="24">
        <v>0</v>
      </c>
      <c r="U18" s="9">
        <v>0</v>
      </c>
      <c r="V18" s="24">
        <v>0</v>
      </c>
      <c r="W18" s="9">
        <v>4</v>
      </c>
      <c r="X18" s="24"/>
      <c r="Y18" s="9">
        <v>4</v>
      </c>
      <c r="Z18" s="24"/>
      <c r="AA18" s="9">
        <v>4</v>
      </c>
      <c r="AB18" s="24"/>
      <c r="AC18" s="9">
        <v>4</v>
      </c>
      <c r="AD18" s="8"/>
      <c r="AE18" s="9">
        <f t="shared" si="0"/>
        <v>48</v>
      </c>
      <c r="AF18" s="63">
        <f t="shared" si="1"/>
        <v>0</v>
      </c>
    </row>
    <row r="19" spans="1:32" hidden="1">
      <c r="A19" s="7">
        <v>16</v>
      </c>
      <c r="B19" s="6">
        <v>3135</v>
      </c>
      <c r="C19" s="5" t="s">
        <v>235</v>
      </c>
      <c r="D19" s="5" t="s">
        <v>217</v>
      </c>
      <c r="E19" s="6" t="s">
        <v>147</v>
      </c>
      <c r="F19" s="27" t="b">
        <v>1</v>
      </c>
      <c r="G19" s="9">
        <v>4</v>
      </c>
      <c r="H19" s="24">
        <v>0</v>
      </c>
      <c r="I19" s="9">
        <v>4</v>
      </c>
      <c r="J19" s="24">
        <v>0</v>
      </c>
      <c r="K19" s="9">
        <v>4</v>
      </c>
      <c r="L19" s="24">
        <v>0</v>
      </c>
      <c r="M19" s="9">
        <v>4</v>
      </c>
      <c r="N19" s="24">
        <v>0</v>
      </c>
      <c r="O19" s="9">
        <v>4</v>
      </c>
      <c r="P19" s="24">
        <v>0</v>
      </c>
      <c r="Q19" s="9">
        <v>4</v>
      </c>
      <c r="R19" s="24">
        <v>2</v>
      </c>
      <c r="S19" s="9">
        <v>4</v>
      </c>
      <c r="T19" s="24">
        <v>1</v>
      </c>
      <c r="U19" s="9">
        <v>4</v>
      </c>
      <c r="V19" s="24">
        <v>0</v>
      </c>
      <c r="W19" s="9">
        <v>4</v>
      </c>
      <c r="X19" s="24"/>
      <c r="Y19" s="9">
        <v>4</v>
      </c>
      <c r="Z19" s="24"/>
      <c r="AA19" s="9">
        <v>4</v>
      </c>
      <c r="AB19" s="24"/>
      <c r="AC19" s="9">
        <v>4</v>
      </c>
      <c r="AD19" s="8"/>
      <c r="AE19" s="9">
        <f t="shared" si="0"/>
        <v>48</v>
      </c>
      <c r="AF19" s="63">
        <f t="shared" si="1"/>
        <v>6.25E-2</v>
      </c>
    </row>
    <row r="20" spans="1:32" hidden="1">
      <c r="A20" s="7">
        <v>17</v>
      </c>
      <c r="B20" s="6">
        <v>1296</v>
      </c>
      <c r="C20" s="5" t="s">
        <v>236</v>
      </c>
      <c r="D20" s="5" t="s">
        <v>220</v>
      </c>
      <c r="E20" s="6" t="s">
        <v>72</v>
      </c>
      <c r="F20" s="27" t="b">
        <v>1</v>
      </c>
      <c r="G20" s="9">
        <v>0</v>
      </c>
      <c r="H20" s="24">
        <v>0</v>
      </c>
      <c r="I20" s="9">
        <v>4</v>
      </c>
      <c r="J20" s="24">
        <v>0</v>
      </c>
      <c r="K20" s="9">
        <v>4</v>
      </c>
      <c r="L20" s="24">
        <v>0</v>
      </c>
      <c r="M20" s="9">
        <v>4</v>
      </c>
      <c r="N20" s="24">
        <v>0</v>
      </c>
      <c r="O20" s="9">
        <v>4</v>
      </c>
      <c r="P20" s="24">
        <v>0</v>
      </c>
      <c r="Q20" s="9">
        <v>4</v>
      </c>
      <c r="R20" s="24">
        <v>0</v>
      </c>
      <c r="S20" s="9">
        <v>4</v>
      </c>
      <c r="T20" s="24">
        <v>0</v>
      </c>
      <c r="U20" s="9">
        <v>4</v>
      </c>
      <c r="V20" s="24">
        <v>6</v>
      </c>
      <c r="W20" s="9">
        <v>4</v>
      </c>
      <c r="X20" s="24"/>
      <c r="Y20" s="9">
        <v>4</v>
      </c>
      <c r="Z20" s="24"/>
      <c r="AA20" s="9">
        <v>4</v>
      </c>
      <c r="AB20" s="24"/>
      <c r="AC20" s="9">
        <v>4</v>
      </c>
      <c r="AD20" s="8"/>
      <c r="AE20" s="9">
        <f t="shared" si="0"/>
        <v>48</v>
      </c>
      <c r="AF20" s="63">
        <f t="shared" si="1"/>
        <v>0.125</v>
      </c>
    </row>
    <row r="21" spans="1:32" hidden="1">
      <c r="A21" s="7">
        <v>18</v>
      </c>
      <c r="B21" s="6">
        <v>3039</v>
      </c>
      <c r="C21" s="5" t="s">
        <v>237</v>
      </c>
      <c r="D21" s="5" t="s">
        <v>217</v>
      </c>
      <c r="E21" s="6" t="s">
        <v>218</v>
      </c>
      <c r="F21" s="27" t="b">
        <v>1</v>
      </c>
      <c r="G21" s="9">
        <v>4</v>
      </c>
      <c r="H21" s="24">
        <v>0</v>
      </c>
      <c r="I21" s="9">
        <v>4</v>
      </c>
      <c r="J21" s="24">
        <v>0</v>
      </c>
      <c r="K21" s="9">
        <v>4</v>
      </c>
      <c r="L21" s="24">
        <v>0</v>
      </c>
      <c r="M21" s="9">
        <v>4</v>
      </c>
      <c r="N21" s="24">
        <v>0</v>
      </c>
      <c r="O21" s="9">
        <v>4</v>
      </c>
      <c r="P21" s="24">
        <v>0</v>
      </c>
      <c r="Q21" s="9">
        <v>4</v>
      </c>
      <c r="R21" s="24">
        <v>0</v>
      </c>
      <c r="S21" s="9">
        <v>4</v>
      </c>
      <c r="T21" s="24">
        <v>0</v>
      </c>
      <c r="U21" s="9">
        <v>4</v>
      </c>
      <c r="V21" s="24">
        <v>0</v>
      </c>
      <c r="W21" s="9">
        <v>4</v>
      </c>
      <c r="X21" s="24"/>
      <c r="Y21" s="9">
        <v>4</v>
      </c>
      <c r="Z21" s="24"/>
      <c r="AA21" s="9">
        <v>4</v>
      </c>
      <c r="AB21" s="24"/>
      <c r="AC21" s="9">
        <v>4</v>
      </c>
      <c r="AD21" s="8"/>
      <c r="AE21" s="9">
        <f t="shared" si="0"/>
        <v>48</v>
      </c>
      <c r="AF21" s="63">
        <f t="shared" si="1"/>
        <v>0</v>
      </c>
    </row>
    <row r="22" spans="1:32" hidden="1">
      <c r="A22" s="7">
        <v>19</v>
      </c>
      <c r="B22" s="6">
        <v>1422</v>
      </c>
      <c r="C22" s="5" t="s">
        <v>238</v>
      </c>
      <c r="D22" s="5" t="s">
        <v>212</v>
      </c>
      <c r="E22" s="6" t="s">
        <v>213</v>
      </c>
      <c r="F22" s="27" t="b">
        <v>1</v>
      </c>
      <c r="G22" s="9">
        <v>0</v>
      </c>
      <c r="H22" s="24">
        <v>0</v>
      </c>
      <c r="I22" s="9">
        <v>0</v>
      </c>
      <c r="J22" s="24">
        <v>0</v>
      </c>
      <c r="K22" s="9">
        <v>0</v>
      </c>
      <c r="L22" s="24">
        <v>0</v>
      </c>
      <c r="M22" s="9">
        <v>0</v>
      </c>
      <c r="N22" s="24">
        <v>0</v>
      </c>
      <c r="O22" s="9">
        <v>4</v>
      </c>
      <c r="P22" s="24">
        <v>1</v>
      </c>
      <c r="Q22" s="9">
        <v>0</v>
      </c>
      <c r="R22" s="24">
        <v>0</v>
      </c>
      <c r="S22" s="9">
        <v>0</v>
      </c>
      <c r="T22" s="24">
        <v>0</v>
      </c>
      <c r="U22" s="9">
        <v>0</v>
      </c>
      <c r="V22" s="24">
        <v>0</v>
      </c>
      <c r="W22" s="9">
        <v>4</v>
      </c>
      <c r="X22" s="24"/>
      <c r="Y22" s="9">
        <v>4</v>
      </c>
      <c r="Z22" s="24"/>
      <c r="AA22" s="9">
        <v>4</v>
      </c>
      <c r="AB22" s="24"/>
      <c r="AC22" s="9">
        <v>4</v>
      </c>
      <c r="AD22" s="8"/>
      <c r="AE22" s="9">
        <f t="shared" si="0"/>
        <v>48</v>
      </c>
      <c r="AF22" s="63">
        <f t="shared" si="1"/>
        <v>2.0833333333333332E-2</v>
      </c>
    </row>
    <row r="23" spans="1:32" hidden="1">
      <c r="A23" s="7">
        <v>20</v>
      </c>
      <c r="B23" s="6">
        <v>10133</v>
      </c>
      <c r="C23" s="5" t="s">
        <v>239</v>
      </c>
      <c r="D23" s="5" t="s">
        <v>240</v>
      </c>
      <c r="E23" s="6" t="s">
        <v>213</v>
      </c>
      <c r="F23" s="27" t="b">
        <v>0</v>
      </c>
      <c r="G23" s="9">
        <v>0</v>
      </c>
      <c r="H23" s="24">
        <v>0</v>
      </c>
      <c r="I23" s="9">
        <v>0</v>
      </c>
      <c r="J23" s="24">
        <v>0</v>
      </c>
      <c r="K23" s="9">
        <v>0</v>
      </c>
      <c r="L23" s="24">
        <v>0</v>
      </c>
      <c r="M23" s="9">
        <v>0</v>
      </c>
      <c r="N23" s="24">
        <v>0</v>
      </c>
      <c r="O23" s="9">
        <v>0</v>
      </c>
      <c r="P23" s="24">
        <v>0</v>
      </c>
      <c r="Q23" s="9">
        <v>0</v>
      </c>
      <c r="R23" s="24">
        <v>0</v>
      </c>
      <c r="S23" s="9">
        <v>0</v>
      </c>
      <c r="T23" s="24">
        <v>0</v>
      </c>
      <c r="U23" s="9">
        <v>0</v>
      </c>
      <c r="V23" s="24">
        <v>0</v>
      </c>
      <c r="W23" s="9">
        <v>4</v>
      </c>
      <c r="X23" s="24"/>
      <c r="Y23" s="9">
        <v>4</v>
      </c>
      <c r="Z23" s="24"/>
      <c r="AA23" s="9">
        <v>4</v>
      </c>
      <c r="AB23" s="24"/>
      <c r="AC23" s="9">
        <v>4</v>
      </c>
      <c r="AD23" s="8"/>
      <c r="AE23" s="9">
        <f t="shared" si="0"/>
        <v>48</v>
      </c>
      <c r="AF23" s="63">
        <f t="shared" si="1"/>
        <v>0</v>
      </c>
    </row>
    <row r="24" spans="1:32" hidden="1">
      <c r="A24" s="7">
        <v>21</v>
      </c>
      <c r="B24" s="6">
        <v>12136</v>
      </c>
      <c r="C24" s="5" t="s">
        <v>241</v>
      </c>
      <c r="D24" s="5" t="s">
        <v>217</v>
      </c>
      <c r="E24" s="6" t="s">
        <v>81</v>
      </c>
      <c r="F24" s="27" t="b">
        <v>1</v>
      </c>
      <c r="G24" s="9">
        <v>4</v>
      </c>
      <c r="H24" s="24">
        <v>0</v>
      </c>
      <c r="I24" s="9">
        <v>4</v>
      </c>
      <c r="J24" s="24">
        <v>0</v>
      </c>
      <c r="K24" s="9">
        <v>4</v>
      </c>
      <c r="L24" s="24">
        <v>0</v>
      </c>
      <c r="M24" s="9">
        <v>4</v>
      </c>
      <c r="N24" s="24">
        <v>0</v>
      </c>
      <c r="O24" s="9">
        <v>4</v>
      </c>
      <c r="P24" s="24">
        <v>0</v>
      </c>
      <c r="Q24" s="9">
        <v>4</v>
      </c>
      <c r="R24" s="24">
        <v>0</v>
      </c>
      <c r="S24" s="9">
        <v>4</v>
      </c>
      <c r="T24" s="24">
        <v>0</v>
      </c>
      <c r="U24" s="9">
        <v>4</v>
      </c>
      <c r="V24" s="24">
        <v>0</v>
      </c>
      <c r="W24" s="9">
        <v>4</v>
      </c>
      <c r="X24" s="24"/>
      <c r="Y24" s="9">
        <v>4</v>
      </c>
      <c r="Z24" s="24"/>
      <c r="AA24" s="9">
        <v>4</v>
      </c>
      <c r="AB24" s="24"/>
      <c r="AC24" s="9">
        <v>4</v>
      </c>
      <c r="AD24" s="8"/>
      <c r="AE24" s="9">
        <f t="shared" si="0"/>
        <v>48</v>
      </c>
      <c r="AF24" s="63">
        <f t="shared" si="1"/>
        <v>0</v>
      </c>
    </row>
    <row r="25" spans="1:32" hidden="1">
      <c r="A25" s="7">
        <v>22</v>
      </c>
      <c r="B25" s="6">
        <v>10604</v>
      </c>
      <c r="C25" s="5" t="s">
        <v>242</v>
      </c>
      <c r="D25" s="5" t="s">
        <v>212</v>
      </c>
      <c r="E25" s="6" t="s">
        <v>213</v>
      </c>
      <c r="F25" s="27" t="b">
        <v>1</v>
      </c>
      <c r="G25" s="9">
        <v>0</v>
      </c>
      <c r="H25" s="24">
        <v>0</v>
      </c>
      <c r="I25" s="9">
        <v>0</v>
      </c>
      <c r="J25" s="24">
        <v>0</v>
      </c>
      <c r="K25" s="9">
        <v>0</v>
      </c>
      <c r="L25" s="24">
        <v>0</v>
      </c>
      <c r="M25" s="9">
        <v>0</v>
      </c>
      <c r="N25" s="24">
        <v>0</v>
      </c>
      <c r="O25" s="9">
        <v>4</v>
      </c>
      <c r="P25" s="24">
        <v>1</v>
      </c>
      <c r="Q25" s="9">
        <v>0</v>
      </c>
      <c r="R25" s="24">
        <v>0</v>
      </c>
      <c r="S25" s="9">
        <v>0</v>
      </c>
      <c r="T25" s="24">
        <v>0</v>
      </c>
      <c r="U25" s="9">
        <v>0</v>
      </c>
      <c r="V25" s="24">
        <v>0</v>
      </c>
      <c r="W25" s="9">
        <v>4</v>
      </c>
      <c r="X25" s="24"/>
      <c r="Y25" s="9">
        <v>4</v>
      </c>
      <c r="Z25" s="24"/>
      <c r="AA25" s="9">
        <v>4</v>
      </c>
      <c r="AB25" s="24"/>
      <c r="AC25" s="9">
        <v>4</v>
      </c>
      <c r="AD25" s="8"/>
      <c r="AE25" s="9">
        <f t="shared" si="0"/>
        <v>48</v>
      </c>
      <c r="AF25" s="63">
        <f t="shared" si="1"/>
        <v>2.0833333333333332E-2</v>
      </c>
    </row>
    <row r="26" spans="1:32" hidden="1">
      <c r="A26" s="7">
        <v>23</v>
      </c>
      <c r="B26" s="6">
        <v>10201</v>
      </c>
      <c r="C26" s="5" t="s">
        <v>243</v>
      </c>
      <c r="D26" s="5" t="s">
        <v>230</v>
      </c>
      <c r="E26" s="6" t="s">
        <v>213</v>
      </c>
      <c r="F26" s="27" t="b">
        <v>1</v>
      </c>
      <c r="G26" s="9">
        <v>0</v>
      </c>
      <c r="H26" s="24">
        <v>0</v>
      </c>
      <c r="I26" s="9">
        <v>0</v>
      </c>
      <c r="J26" s="24">
        <v>0</v>
      </c>
      <c r="K26" s="9">
        <v>0</v>
      </c>
      <c r="L26" s="24">
        <v>0</v>
      </c>
      <c r="M26" s="9">
        <v>0</v>
      </c>
      <c r="N26" s="24">
        <v>0</v>
      </c>
      <c r="O26" s="9">
        <v>4</v>
      </c>
      <c r="P26" s="24">
        <v>1</v>
      </c>
      <c r="Q26" s="9">
        <v>0</v>
      </c>
      <c r="R26" s="24">
        <v>0</v>
      </c>
      <c r="S26" s="9">
        <v>0</v>
      </c>
      <c r="T26" s="24">
        <v>0</v>
      </c>
      <c r="U26" s="9">
        <v>0</v>
      </c>
      <c r="V26" s="24">
        <v>0</v>
      </c>
      <c r="W26" s="9">
        <v>4</v>
      </c>
      <c r="X26" s="24"/>
      <c r="Y26" s="9">
        <v>4</v>
      </c>
      <c r="Z26" s="24"/>
      <c r="AA26" s="9">
        <v>4</v>
      </c>
      <c r="AB26" s="24"/>
      <c r="AC26" s="9">
        <v>4</v>
      </c>
      <c r="AD26" s="8"/>
      <c r="AE26" s="9">
        <f t="shared" si="0"/>
        <v>48</v>
      </c>
      <c r="AF26" s="63">
        <f t="shared" si="1"/>
        <v>2.0833333333333332E-2</v>
      </c>
    </row>
    <row r="27" spans="1:32" hidden="1">
      <c r="A27" s="7">
        <v>24</v>
      </c>
      <c r="B27" s="6">
        <v>3030</v>
      </c>
      <c r="C27" s="5" t="s">
        <v>244</v>
      </c>
      <c r="D27" s="5" t="s">
        <v>220</v>
      </c>
      <c r="E27" s="6" t="s">
        <v>72</v>
      </c>
      <c r="F27" s="27" t="b">
        <v>1</v>
      </c>
      <c r="G27" s="9">
        <v>0</v>
      </c>
      <c r="H27" s="24">
        <v>0</v>
      </c>
      <c r="I27" s="9">
        <v>4</v>
      </c>
      <c r="J27" s="24">
        <v>0</v>
      </c>
      <c r="K27" s="9">
        <v>4</v>
      </c>
      <c r="L27" s="24">
        <v>0</v>
      </c>
      <c r="M27" s="9">
        <v>4</v>
      </c>
      <c r="N27" s="24">
        <v>0</v>
      </c>
      <c r="O27" s="9">
        <v>4</v>
      </c>
      <c r="P27" s="24">
        <v>0</v>
      </c>
      <c r="Q27" s="9">
        <v>4</v>
      </c>
      <c r="R27" s="24">
        <v>0</v>
      </c>
      <c r="S27" s="9">
        <v>4</v>
      </c>
      <c r="T27" s="24">
        <v>0</v>
      </c>
      <c r="U27" s="9">
        <v>4</v>
      </c>
      <c r="V27" s="24">
        <v>0</v>
      </c>
      <c r="W27" s="9">
        <v>4</v>
      </c>
      <c r="X27" s="24"/>
      <c r="Y27" s="9">
        <v>4</v>
      </c>
      <c r="Z27" s="24"/>
      <c r="AA27" s="9">
        <v>4</v>
      </c>
      <c r="AB27" s="24"/>
      <c r="AC27" s="9">
        <v>4</v>
      </c>
      <c r="AD27" s="8"/>
      <c r="AE27" s="9">
        <f t="shared" si="0"/>
        <v>48</v>
      </c>
      <c r="AF27" s="63">
        <f t="shared" si="1"/>
        <v>0</v>
      </c>
    </row>
    <row r="28" spans="1:32" hidden="1">
      <c r="A28" s="7">
        <v>25</v>
      </c>
      <c r="B28" s="6">
        <v>1511</v>
      </c>
      <c r="C28" s="5" t="s">
        <v>245</v>
      </c>
      <c r="D28" s="5" t="s">
        <v>215</v>
      </c>
      <c r="E28" s="6" t="s">
        <v>213</v>
      </c>
      <c r="F28" s="27" t="b">
        <v>1</v>
      </c>
      <c r="G28" s="9">
        <v>0</v>
      </c>
      <c r="H28" s="24">
        <v>0</v>
      </c>
      <c r="I28" s="9">
        <v>0</v>
      </c>
      <c r="J28" s="24">
        <v>0</v>
      </c>
      <c r="K28" s="9">
        <v>0</v>
      </c>
      <c r="L28" s="24">
        <v>0</v>
      </c>
      <c r="M28" s="9">
        <v>0</v>
      </c>
      <c r="N28" s="24">
        <v>0</v>
      </c>
      <c r="O28" s="9">
        <v>4</v>
      </c>
      <c r="P28" s="24">
        <v>1</v>
      </c>
      <c r="Q28" s="9">
        <v>0</v>
      </c>
      <c r="R28" s="24">
        <v>0</v>
      </c>
      <c r="S28" s="9">
        <v>0</v>
      </c>
      <c r="T28" s="24">
        <v>0</v>
      </c>
      <c r="U28" s="9">
        <v>0</v>
      </c>
      <c r="V28" s="24">
        <v>0</v>
      </c>
      <c r="W28" s="9">
        <v>4</v>
      </c>
      <c r="X28" s="24"/>
      <c r="Y28" s="9">
        <v>4</v>
      </c>
      <c r="Z28" s="24"/>
      <c r="AA28" s="9">
        <v>4</v>
      </c>
      <c r="AB28" s="24"/>
      <c r="AC28" s="9">
        <v>4</v>
      </c>
      <c r="AD28" s="8"/>
      <c r="AE28" s="9">
        <f t="shared" si="0"/>
        <v>48</v>
      </c>
      <c r="AF28" s="63">
        <f t="shared" si="1"/>
        <v>2.0833333333333332E-2</v>
      </c>
    </row>
    <row r="29" spans="1:32" hidden="1">
      <c r="A29" s="7">
        <v>26</v>
      </c>
      <c r="B29" s="6">
        <v>10135</v>
      </c>
      <c r="C29" s="5" t="s">
        <v>246</v>
      </c>
      <c r="D29" s="5" t="s">
        <v>212</v>
      </c>
      <c r="E29" s="6" t="s">
        <v>213</v>
      </c>
      <c r="F29" s="27" t="b">
        <v>0</v>
      </c>
      <c r="G29" s="9">
        <v>0</v>
      </c>
      <c r="H29" s="24">
        <v>0</v>
      </c>
      <c r="I29" s="9">
        <v>0</v>
      </c>
      <c r="J29" s="24">
        <v>0</v>
      </c>
      <c r="K29" s="9">
        <v>0</v>
      </c>
      <c r="L29" s="24">
        <v>0</v>
      </c>
      <c r="M29" s="9">
        <v>0</v>
      </c>
      <c r="N29" s="24">
        <v>0</v>
      </c>
      <c r="O29" s="9">
        <v>0</v>
      </c>
      <c r="P29" s="24">
        <v>0</v>
      </c>
      <c r="Q29" s="9">
        <v>0</v>
      </c>
      <c r="R29" s="24">
        <v>0</v>
      </c>
      <c r="S29" s="9">
        <v>0</v>
      </c>
      <c r="T29" s="24">
        <v>0</v>
      </c>
      <c r="U29" s="9">
        <v>0</v>
      </c>
      <c r="V29" s="24">
        <v>0</v>
      </c>
      <c r="W29" s="9">
        <v>4</v>
      </c>
      <c r="X29" s="24"/>
      <c r="Y29" s="9">
        <v>4</v>
      </c>
      <c r="Z29" s="24"/>
      <c r="AA29" s="9">
        <v>4</v>
      </c>
      <c r="AB29" s="24"/>
      <c r="AC29" s="9">
        <v>4</v>
      </c>
      <c r="AD29" s="8"/>
      <c r="AE29" s="9">
        <f t="shared" si="0"/>
        <v>48</v>
      </c>
      <c r="AF29" s="63">
        <f t="shared" si="1"/>
        <v>0</v>
      </c>
    </row>
    <row r="30" spans="1:32">
      <c r="A30" s="7">
        <v>27</v>
      </c>
      <c r="B30" s="6">
        <v>1425</v>
      </c>
      <c r="C30" s="5" t="s">
        <v>247</v>
      </c>
      <c r="D30" s="5" t="s">
        <v>217</v>
      </c>
      <c r="E30" s="6" t="s">
        <v>248</v>
      </c>
      <c r="F30" s="27" t="b">
        <v>1</v>
      </c>
      <c r="G30" s="9">
        <v>4</v>
      </c>
      <c r="H30" s="24">
        <v>0</v>
      </c>
      <c r="I30" s="9">
        <v>4</v>
      </c>
      <c r="J30" s="24">
        <v>0</v>
      </c>
      <c r="K30" s="9">
        <v>4</v>
      </c>
      <c r="L30" s="24">
        <v>3</v>
      </c>
      <c r="M30" s="9">
        <v>4</v>
      </c>
      <c r="N30" s="24">
        <v>0</v>
      </c>
      <c r="O30" s="9">
        <v>4</v>
      </c>
      <c r="P30" s="24">
        <v>5</v>
      </c>
      <c r="Q30" s="9">
        <v>4</v>
      </c>
      <c r="R30" s="24">
        <v>7</v>
      </c>
      <c r="S30" s="9">
        <v>4</v>
      </c>
      <c r="T30" s="24">
        <v>6</v>
      </c>
      <c r="U30" s="9">
        <v>4</v>
      </c>
      <c r="V30" s="24">
        <v>7</v>
      </c>
      <c r="W30" s="9">
        <v>4</v>
      </c>
      <c r="X30" s="24"/>
      <c r="Y30" s="9">
        <v>4</v>
      </c>
      <c r="Z30" s="24"/>
      <c r="AA30" s="9">
        <v>4</v>
      </c>
      <c r="AB30" s="24"/>
      <c r="AC30" s="9">
        <v>4</v>
      </c>
      <c r="AD30" s="8"/>
      <c r="AE30" s="9">
        <f t="shared" si="0"/>
        <v>48</v>
      </c>
      <c r="AF30" s="63">
        <f t="shared" si="1"/>
        <v>0.58333333333333337</v>
      </c>
    </row>
    <row r="31" spans="1:32">
      <c r="A31" s="7">
        <v>28</v>
      </c>
      <c r="B31" s="6">
        <v>1232</v>
      </c>
      <c r="C31" s="5" t="s">
        <v>249</v>
      </c>
      <c r="D31" s="5" t="s">
        <v>217</v>
      </c>
      <c r="E31" s="6" t="s">
        <v>248</v>
      </c>
      <c r="F31" s="27" t="b">
        <v>1</v>
      </c>
      <c r="G31" s="9">
        <v>0</v>
      </c>
      <c r="H31" s="24">
        <v>0</v>
      </c>
      <c r="I31" s="9">
        <v>4</v>
      </c>
      <c r="J31" s="24">
        <v>0</v>
      </c>
      <c r="K31" s="9">
        <v>4</v>
      </c>
      <c r="L31" s="24">
        <v>0</v>
      </c>
      <c r="M31" s="9">
        <v>4</v>
      </c>
      <c r="N31" s="24">
        <v>0</v>
      </c>
      <c r="O31" s="9">
        <v>4</v>
      </c>
      <c r="P31" s="24">
        <v>5</v>
      </c>
      <c r="Q31" s="9">
        <v>4</v>
      </c>
      <c r="R31" s="24">
        <v>6</v>
      </c>
      <c r="S31" s="9">
        <v>4</v>
      </c>
      <c r="T31" s="24">
        <v>4</v>
      </c>
      <c r="U31" s="9">
        <v>4</v>
      </c>
      <c r="V31" s="24">
        <v>7</v>
      </c>
      <c r="W31" s="9">
        <v>4</v>
      </c>
      <c r="X31" s="24">
        <v>2</v>
      </c>
      <c r="Y31" s="9">
        <v>4</v>
      </c>
      <c r="Z31" s="24"/>
      <c r="AA31" s="9">
        <v>4</v>
      </c>
      <c r="AB31" s="24"/>
      <c r="AC31" s="9">
        <v>4</v>
      </c>
      <c r="AD31" s="8"/>
      <c r="AE31" s="9">
        <f t="shared" si="0"/>
        <v>48</v>
      </c>
      <c r="AF31" s="63">
        <f t="shared" si="1"/>
        <v>0.5</v>
      </c>
    </row>
    <row r="32" spans="1:32" hidden="1">
      <c r="A32" s="7">
        <v>29</v>
      </c>
      <c r="B32" s="6">
        <v>10585</v>
      </c>
      <c r="C32" s="5" t="s">
        <v>250</v>
      </c>
      <c r="D32" s="5" t="s">
        <v>217</v>
      </c>
      <c r="E32" s="6" t="s">
        <v>147</v>
      </c>
      <c r="F32" s="27" t="b">
        <v>1</v>
      </c>
      <c r="G32" s="9">
        <v>4</v>
      </c>
      <c r="H32" s="24">
        <v>0</v>
      </c>
      <c r="I32" s="9">
        <v>4</v>
      </c>
      <c r="J32" s="24">
        <v>0</v>
      </c>
      <c r="K32" s="9">
        <v>4</v>
      </c>
      <c r="L32" s="24">
        <v>0</v>
      </c>
      <c r="M32" s="9">
        <v>4</v>
      </c>
      <c r="N32" s="24">
        <v>0</v>
      </c>
      <c r="O32" s="9">
        <v>4</v>
      </c>
      <c r="P32" s="24">
        <v>0</v>
      </c>
      <c r="Q32" s="9">
        <v>4</v>
      </c>
      <c r="R32" s="24">
        <v>0</v>
      </c>
      <c r="S32" s="9">
        <v>4</v>
      </c>
      <c r="T32" s="24">
        <v>3</v>
      </c>
      <c r="U32" s="9">
        <v>4</v>
      </c>
      <c r="V32" s="24">
        <v>0</v>
      </c>
      <c r="W32" s="9">
        <v>4</v>
      </c>
      <c r="X32" s="24"/>
      <c r="Y32" s="9">
        <v>4</v>
      </c>
      <c r="Z32" s="24"/>
      <c r="AA32" s="9">
        <v>4</v>
      </c>
      <c r="AB32" s="24"/>
      <c r="AC32" s="9">
        <v>4</v>
      </c>
      <c r="AD32" s="8"/>
      <c r="AE32" s="9">
        <f t="shared" si="0"/>
        <v>48</v>
      </c>
      <c r="AF32" s="63">
        <f t="shared" si="1"/>
        <v>6.25E-2</v>
      </c>
    </row>
    <row r="33" spans="1:32">
      <c r="A33" s="7">
        <v>30</v>
      </c>
      <c r="B33" s="6">
        <v>1339</v>
      </c>
      <c r="C33" s="5" t="s">
        <v>251</v>
      </c>
      <c r="D33" s="5" t="s">
        <v>217</v>
      </c>
      <c r="E33" s="6" t="s">
        <v>225</v>
      </c>
      <c r="F33" s="27" t="b">
        <v>1</v>
      </c>
      <c r="G33" s="9">
        <v>4</v>
      </c>
      <c r="H33" s="24">
        <v>0</v>
      </c>
      <c r="I33" s="9">
        <v>4</v>
      </c>
      <c r="J33" s="24">
        <v>4</v>
      </c>
      <c r="K33" s="9">
        <v>4</v>
      </c>
      <c r="L33" s="24">
        <v>4</v>
      </c>
      <c r="M33" s="9">
        <v>4</v>
      </c>
      <c r="N33" s="24">
        <v>6</v>
      </c>
      <c r="O33" s="9">
        <v>4</v>
      </c>
      <c r="P33" s="24">
        <v>5</v>
      </c>
      <c r="Q33" s="9">
        <v>4</v>
      </c>
      <c r="R33" s="24">
        <v>5</v>
      </c>
      <c r="S33" s="9">
        <v>4</v>
      </c>
      <c r="T33" s="24">
        <v>5</v>
      </c>
      <c r="U33" s="9">
        <v>4</v>
      </c>
      <c r="V33" s="24">
        <v>5</v>
      </c>
      <c r="W33" s="9">
        <v>4</v>
      </c>
      <c r="X33" s="24"/>
      <c r="Y33" s="9">
        <v>4</v>
      </c>
      <c r="Z33" s="24"/>
      <c r="AA33" s="9">
        <v>4</v>
      </c>
      <c r="AB33" s="24"/>
      <c r="AC33" s="9">
        <v>4</v>
      </c>
      <c r="AD33" s="8"/>
      <c r="AE33" s="9">
        <f t="shared" si="0"/>
        <v>48</v>
      </c>
      <c r="AF33" s="63">
        <f t="shared" si="1"/>
        <v>0.70833333333333337</v>
      </c>
    </row>
    <row r="34" spans="1:32" hidden="1">
      <c r="A34" s="7">
        <v>31</v>
      </c>
      <c r="B34" s="6">
        <v>10669</v>
      </c>
      <c r="C34" s="5" t="s">
        <v>252</v>
      </c>
      <c r="D34" s="5" t="s">
        <v>212</v>
      </c>
      <c r="E34" s="6" t="s">
        <v>213</v>
      </c>
      <c r="F34" s="27" t="b">
        <v>1</v>
      </c>
      <c r="G34" s="9">
        <v>0</v>
      </c>
      <c r="H34" s="24">
        <v>0</v>
      </c>
      <c r="I34" s="9">
        <v>0</v>
      </c>
      <c r="J34" s="24">
        <v>0</v>
      </c>
      <c r="K34" s="9">
        <v>0</v>
      </c>
      <c r="L34" s="24">
        <v>0</v>
      </c>
      <c r="M34" s="9">
        <v>0</v>
      </c>
      <c r="N34" s="24">
        <v>0</v>
      </c>
      <c r="O34" s="9">
        <v>4</v>
      </c>
      <c r="P34" s="24">
        <v>1</v>
      </c>
      <c r="Q34" s="9">
        <v>0</v>
      </c>
      <c r="R34" s="24">
        <v>0</v>
      </c>
      <c r="S34" s="9">
        <v>0</v>
      </c>
      <c r="T34" s="24">
        <v>0</v>
      </c>
      <c r="U34" s="9">
        <v>0</v>
      </c>
      <c r="V34" s="24">
        <v>0</v>
      </c>
      <c r="W34" s="9">
        <v>4</v>
      </c>
      <c r="X34" s="24"/>
      <c r="Y34" s="9">
        <v>4</v>
      </c>
      <c r="Z34" s="24"/>
      <c r="AA34" s="9">
        <v>4</v>
      </c>
      <c r="AB34" s="24"/>
      <c r="AC34" s="9">
        <v>4</v>
      </c>
      <c r="AD34" s="8"/>
      <c r="AE34" s="9">
        <f t="shared" si="0"/>
        <v>48</v>
      </c>
      <c r="AF34" s="63">
        <f t="shared" si="1"/>
        <v>2.0833333333333332E-2</v>
      </c>
    </row>
    <row r="35" spans="1:32" hidden="1">
      <c r="A35" s="7">
        <v>32</v>
      </c>
      <c r="B35" s="6">
        <v>1356</v>
      </c>
      <c r="C35" s="5" t="s">
        <v>253</v>
      </c>
      <c r="D35" s="5" t="s">
        <v>217</v>
      </c>
      <c r="E35" s="6" t="s">
        <v>218</v>
      </c>
      <c r="F35" s="27" t="b">
        <v>1</v>
      </c>
      <c r="G35" s="9">
        <v>4</v>
      </c>
      <c r="H35" s="24">
        <v>0</v>
      </c>
      <c r="I35" s="9">
        <v>4</v>
      </c>
      <c r="J35" s="24">
        <v>0</v>
      </c>
      <c r="K35" s="9">
        <v>4</v>
      </c>
      <c r="L35" s="24">
        <v>0</v>
      </c>
      <c r="M35" s="9">
        <v>4</v>
      </c>
      <c r="N35" s="24">
        <v>0</v>
      </c>
      <c r="O35" s="9">
        <v>4</v>
      </c>
      <c r="P35" s="24">
        <v>0</v>
      </c>
      <c r="Q35" s="9">
        <v>4</v>
      </c>
      <c r="R35" s="24">
        <v>4</v>
      </c>
      <c r="S35" s="9">
        <v>4</v>
      </c>
      <c r="T35" s="24">
        <v>0</v>
      </c>
      <c r="U35" s="9">
        <v>4</v>
      </c>
      <c r="V35" s="24">
        <v>0</v>
      </c>
      <c r="W35" s="9">
        <v>4</v>
      </c>
      <c r="X35" s="24"/>
      <c r="Y35" s="9">
        <v>4</v>
      </c>
      <c r="Z35" s="24"/>
      <c r="AA35" s="9">
        <v>4</v>
      </c>
      <c r="AB35" s="24"/>
      <c r="AC35" s="9">
        <v>4</v>
      </c>
      <c r="AD35" s="8"/>
      <c r="AE35" s="9">
        <f t="shared" si="0"/>
        <v>48</v>
      </c>
      <c r="AF35" s="63">
        <f t="shared" si="1"/>
        <v>8.3333333333333329E-2</v>
      </c>
    </row>
    <row r="36" spans="1:32">
      <c r="A36" s="7">
        <v>33</v>
      </c>
      <c r="B36" s="6">
        <v>1327</v>
      </c>
      <c r="C36" s="5" t="s">
        <v>254</v>
      </c>
      <c r="D36" s="5" t="s">
        <v>217</v>
      </c>
      <c r="E36" s="6" t="s">
        <v>248</v>
      </c>
      <c r="F36" s="27" t="b">
        <v>1</v>
      </c>
      <c r="G36" s="9">
        <v>4</v>
      </c>
      <c r="H36" s="24">
        <v>0</v>
      </c>
      <c r="I36" s="9">
        <v>4</v>
      </c>
      <c r="J36" s="24">
        <v>0</v>
      </c>
      <c r="K36" s="9">
        <v>4</v>
      </c>
      <c r="L36" s="24">
        <v>5</v>
      </c>
      <c r="M36" s="9">
        <v>4</v>
      </c>
      <c r="N36" s="24">
        <v>0</v>
      </c>
      <c r="O36" s="9">
        <v>4</v>
      </c>
      <c r="P36" s="24">
        <v>5</v>
      </c>
      <c r="Q36" s="9">
        <v>4</v>
      </c>
      <c r="R36" s="24">
        <v>5</v>
      </c>
      <c r="S36" s="9">
        <v>4</v>
      </c>
      <c r="T36" s="24">
        <v>6</v>
      </c>
      <c r="U36" s="9">
        <v>4</v>
      </c>
      <c r="V36" s="24">
        <v>5</v>
      </c>
      <c r="W36" s="9">
        <v>4</v>
      </c>
      <c r="X36" s="24">
        <v>1</v>
      </c>
      <c r="Y36" s="9">
        <v>4</v>
      </c>
      <c r="Z36" s="24"/>
      <c r="AA36" s="9">
        <v>4</v>
      </c>
      <c r="AB36" s="24"/>
      <c r="AC36" s="9">
        <v>4</v>
      </c>
      <c r="AD36" s="8"/>
      <c r="AE36" s="9">
        <f t="shared" si="0"/>
        <v>48</v>
      </c>
      <c r="AF36" s="63">
        <f t="shared" si="1"/>
        <v>0.5625</v>
      </c>
    </row>
    <row r="37" spans="1:32" hidden="1">
      <c r="A37" s="7">
        <v>34</v>
      </c>
      <c r="B37" s="6">
        <v>10245</v>
      </c>
      <c r="C37" s="5" t="s">
        <v>255</v>
      </c>
      <c r="D37" s="5" t="s">
        <v>240</v>
      </c>
      <c r="E37" s="6" t="s">
        <v>213</v>
      </c>
      <c r="F37" s="27" t="b">
        <v>1</v>
      </c>
      <c r="G37" s="9">
        <v>0</v>
      </c>
      <c r="H37" s="24">
        <v>0</v>
      </c>
      <c r="I37" s="9">
        <v>0</v>
      </c>
      <c r="J37" s="24">
        <v>0</v>
      </c>
      <c r="K37" s="9">
        <v>0</v>
      </c>
      <c r="L37" s="24">
        <v>0</v>
      </c>
      <c r="M37" s="9">
        <v>0</v>
      </c>
      <c r="N37" s="24">
        <v>0</v>
      </c>
      <c r="O37" s="9">
        <v>4</v>
      </c>
      <c r="P37" s="24">
        <v>1</v>
      </c>
      <c r="Q37" s="9">
        <v>0</v>
      </c>
      <c r="R37" s="24">
        <v>0</v>
      </c>
      <c r="S37" s="9">
        <v>0</v>
      </c>
      <c r="T37" s="24">
        <v>0</v>
      </c>
      <c r="U37" s="9">
        <v>0</v>
      </c>
      <c r="V37" s="24">
        <v>0</v>
      </c>
      <c r="W37" s="9">
        <v>4</v>
      </c>
      <c r="X37" s="24"/>
      <c r="Y37" s="9">
        <v>4</v>
      </c>
      <c r="Z37" s="24"/>
      <c r="AA37" s="9">
        <v>4</v>
      </c>
      <c r="AB37" s="24"/>
      <c r="AC37" s="9">
        <v>4</v>
      </c>
      <c r="AD37" s="8"/>
      <c r="AE37" s="9">
        <f t="shared" si="0"/>
        <v>48</v>
      </c>
      <c r="AF37" s="63">
        <f t="shared" si="1"/>
        <v>2.0833333333333332E-2</v>
      </c>
    </row>
    <row r="38" spans="1:32" hidden="1">
      <c r="A38" s="7">
        <v>35</v>
      </c>
      <c r="B38" s="6">
        <v>10026</v>
      </c>
      <c r="C38" s="5" t="s">
        <v>256</v>
      </c>
      <c r="D38" s="5" t="s">
        <v>212</v>
      </c>
      <c r="E38" s="6" t="s">
        <v>213</v>
      </c>
      <c r="F38" s="27" t="b">
        <v>1</v>
      </c>
      <c r="G38" s="9">
        <v>0</v>
      </c>
      <c r="H38" s="24">
        <v>0</v>
      </c>
      <c r="I38" s="9">
        <v>0</v>
      </c>
      <c r="J38" s="24">
        <v>0</v>
      </c>
      <c r="K38" s="9">
        <v>0</v>
      </c>
      <c r="L38" s="24">
        <v>0</v>
      </c>
      <c r="M38" s="9">
        <v>0</v>
      </c>
      <c r="N38" s="24">
        <v>0</v>
      </c>
      <c r="O38" s="9">
        <v>4</v>
      </c>
      <c r="P38" s="24">
        <v>1</v>
      </c>
      <c r="Q38" s="9">
        <v>0</v>
      </c>
      <c r="R38" s="24">
        <v>0</v>
      </c>
      <c r="S38" s="9">
        <v>0</v>
      </c>
      <c r="T38" s="24">
        <v>0</v>
      </c>
      <c r="U38" s="9">
        <v>0</v>
      </c>
      <c r="V38" s="24">
        <v>0</v>
      </c>
      <c r="W38" s="9">
        <v>4</v>
      </c>
      <c r="X38" s="24"/>
      <c r="Y38" s="9">
        <v>4</v>
      </c>
      <c r="Z38" s="24"/>
      <c r="AA38" s="9">
        <v>4</v>
      </c>
      <c r="AB38" s="24"/>
      <c r="AC38" s="9">
        <v>4</v>
      </c>
      <c r="AD38" s="8"/>
      <c r="AE38" s="9">
        <f t="shared" si="0"/>
        <v>48</v>
      </c>
      <c r="AF38" s="63">
        <f t="shared" si="1"/>
        <v>2.0833333333333332E-2</v>
      </c>
    </row>
    <row r="39" spans="1:32" hidden="1">
      <c r="A39" s="7">
        <v>36</v>
      </c>
      <c r="B39" s="6">
        <v>1456</v>
      </c>
      <c r="C39" s="5" t="s">
        <v>257</v>
      </c>
      <c r="D39" s="5" t="s">
        <v>217</v>
      </c>
      <c r="E39" s="6" t="s">
        <v>147</v>
      </c>
      <c r="F39" s="27" t="b">
        <v>1</v>
      </c>
      <c r="G39" s="9">
        <v>4</v>
      </c>
      <c r="H39" s="24">
        <v>0</v>
      </c>
      <c r="I39" s="9">
        <v>4</v>
      </c>
      <c r="J39" s="24">
        <v>0</v>
      </c>
      <c r="K39" s="9">
        <v>4</v>
      </c>
      <c r="L39" s="24">
        <v>0</v>
      </c>
      <c r="M39" s="9">
        <v>4</v>
      </c>
      <c r="N39" s="24">
        <v>0</v>
      </c>
      <c r="O39" s="9">
        <v>4</v>
      </c>
      <c r="P39" s="24">
        <v>0</v>
      </c>
      <c r="Q39" s="9">
        <v>4</v>
      </c>
      <c r="R39" s="24">
        <v>6</v>
      </c>
      <c r="S39" s="9">
        <v>4</v>
      </c>
      <c r="T39" s="24">
        <v>5</v>
      </c>
      <c r="U39" s="9">
        <v>4</v>
      </c>
      <c r="V39" s="24">
        <v>0</v>
      </c>
      <c r="W39" s="9">
        <v>4</v>
      </c>
      <c r="X39" s="24"/>
      <c r="Y39" s="9">
        <v>4</v>
      </c>
      <c r="Z39" s="24"/>
      <c r="AA39" s="9">
        <v>4</v>
      </c>
      <c r="AB39" s="24"/>
      <c r="AC39" s="9">
        <v>4</v>
      </c>
      <c r="AD39" s="8"/>
      <c r="AE39" s="9">
        <f t="shared" si="0"/>
        <v>48</v>
      </c>
      <c r="AF39" s="63">
        <f t="shared" si="1"/>
        <v>0.22916666666666666</v>
      </c>
    </row>
    <row r="40" spans="1:32" hidden="1">
      <c r="A40" s="7">
        <v>37</v>
      </c>
      <c r="B40" s="6">
        <v>1432</v>
      </c>
      <c r="C40" s="5" t="s">
        <v>258</v>
      </c>
      <c r="D40" s="5" t="s">
        <v>217</v>
      </c>
      <c r="E40" s="6" t="s">
        <v>77</v>
      </c>
      <c r="F40" s="27" t="b">
        <v>1</v>
      </c>
      <c r="G40" s="9">
        <v>4</v>
      </c>
      <c r="H40" s="24">
        <v>0</v>
      </c>
      <c r="I40" s="9">
        <v>4</v>
      </c>
      <c r="J40" s="24">
        <v>0</v>
      </c>
      <c r="K40" s="9">
        <v>4</v>
      </c>
      <c r="L40" s="24">
        <v>0</v>
      </c>
      <c r="M40" s="9">
        <v>4</v>
      </c>
      <c r="N40" s="24">
        <v>0</v>
      </c>
      <c r="O40" s="9">
        <v>4</v>
      </c>
      <c r="P40" s="24">
        <v>0</v>
      </c>
      <c r="Q40" s="9">
        <v>4</v>
      </c>
      <c r="R40" s="24">
        <v>1</v>
      </c>
      <c r="S40" s="9">
        <v>4</v>
      </c>
      <c r="T40" s="24">
        <v>4</v>
      </c>
      <c r="U40" s="9">
        <v>4</v>
      </c>
      <c r="V40" s="24">
        <v>5</v>
      </c>
      <c r="W40" s="9">
        <v>4</v>
      </c>
      <c r="X40" s="24"/>
      <c r="Y40" s="9">
        <v>4</v>
      </c>
      <c r="Z40" s="24"/>
      <c r="AA40" s="9">
        <v>4</v>
      </c>
      <c r="AB40" s="24"/>
      <c r="AC40" s="9">
        <v>4</v>
      </c>
      <c r="AD40" s="8"/>
      <c r="AE40" s="9">
        <f t="shared" si="0"/>
        <v>48</v>
      </c>
      <c r="AF40" s="63">
        <f t="shared" si="1"/>
        <v>0.20833333333333334</v>
      </c>
    </row>
    <row r="41" spans="1:32" hidden="1">
      <c r="A41" s="7">
        <v>38</v>
      </c>
      <c r="B41" s="6">
        <v>10796</v>
      </c>
      <c r="C41" s="5" t="s">
        <v>259</v>
      </c>
      <c r="D41" s="5" t="s">
        <v>230</v>
      </c>
      <c r="E41" s="6" t="s">
        <v>107</v>
      </c>
      <c r="F41" s="27" t="b">
        <v>1</v>
      </c>
      <c r="G41" s="9">
        <v>0</v>
      </c>
      <c r="H41" s="24">
        <v>0</v>
      </c>
      <c r="I41" s="9">
        <v>0</v>
      </c>
      <c r="J41" s="24">
        <v>0</v>
      </c>
      <c r="K41" s="9">
        <v>0</v>
      </c>
      <c r="L41" s="24">
        <v>0</v>
      </c>
      <c r="M41" s="9">
        <v>0</v>
      </c>
      <c r="N41" s="24">
        <v>0</v>
      </c>
      <c r="O41" s="9">
        <v>4</v>
      </c>
      <c r="P41" s="24">
        <v>3</v>
      </c>
      <c r="Q41" s="9">
        <v>0</v>
      </c>
      <c r="R41" s="24">
        <v>0</v>
      </c>
      <c r="S41" s="9">
        <v>0</v>
      </c>
      <c r="T41" s="24">
        <v>0</v>
      </c>
      <c r="U41" s="9">
        <v>0</v>
      </c>
      <c r="V41" s="24">
        <v>0</v>
      </c>
      <c r="W41" s="9">
        <v>4</v>
      </c>
      <c r="X41" s="24"/>
      <c r="Y41" s="9">
        <v>4</v>
      </c>
      <c r="Z41" s="24"/>
      <c r="AA41" s="9">
        <v>4</v>
      </c>
      <c r="AB41" s="24"/>
      <c r="AC41" s="9">
        <v>4</v>
      </c>
      <c r="AD41" s="8"/>
      <c r="AE41" s="9">
        <f t="shared" si="0"/>
        <v>48</v>
      </c>
      <c r="AF41" s="63">
        <f t="shared" si="1"/>
        <v>6.25E-2</v>
      </c>
    </row>
    <row r="42" spans="1:32" hidden="1">
      <c r="A42" s="7">
        <v>39</v>
      </c>
      <c r="B42" s="6">
        <v>1379</v>
      </c>
      <c r="C42" s="5" t="s">
        <v>260</v>
      </c>
      <c r="D42" s="5" t="s">
        <v>230</v>
      </c>
      <c r="E42" s="6" t="s">
        <v>77</v>
      </c>
      <c r="F42" s="27" t="b">
        <v>1</v>
      </c>
      <c r="G42" s="9">
        <v>4</v>
      </c>
      <c r="H42" s="24">
        <v>0</v>
      </c>
      <c r="I42" s="9">
        <v>4</v>
      </c>
      <c r="J42" s="24">
        <v>0</v>
      </c>
      <c r="K42" s="9">
        <v>4</v>
      </c>
      <c r="L42" s="24">
        <v>0</v>
      </c>
      <c r="M42" s="9">
        <v>4</v>
      </c>
      <c r="N42" s="24">
        <v>0</v>
      </c>
      <c r="O42" s="9">
        <v>4</v>
      </c>
      <c r="P42" s="24">
        <v>0</v>
      </c>
      <c r="Q42" s="9">
        <v>4</v>
      </c>
      <c r="R42" s="24">
        <v>0</v>
      </c>
      <c r="S42" s="9">
        <v>4</v>
      </c>
      <c r="T42" s="24">
        <v>0</v>
      </c>
      <c r="U42" s="9">
        <v>4</v>
      </c>
      <c r="V42" s="24">
        <v>0</v>
      </c>
      <c r="W42" s="9">
        <v>4</v>
      </c>
      <c r="X42" s="24"/>
      <c r="Y42" s="9">
        <v>4</v>
      </c>
      <c r="Z42" s="24"/>
      <c r="AA42" s="9">
        <v>4</v>
      </c>
      <c r="AB42" s="24"/>
      <c r="AC42" s="9">
        <v>4</v>
      </c>
      <c r="AD42" s="8"/>
      <c r="AE42" s="9">
        <f t="shared" si="0"/>
        <v>48</v>
      </c>
      <c r="AF42" s="63">
        <f t="shared" si="1"/>
        <v>0</v>
      </c>
    </row>
    <row r="43" spans="1:32">
      <c r="A43" s="7">
        <v>40</v>
      </c>
      <c r="B43" s="6">
        <v>9823</v>
      </c>
      <c r="C43" s="5" t="s">
        <v>261</v>
      </c>
      <c r="D43" s="5" t="s">
        <v>217</v>
      </c>
      <c r="E43" s="6" t="s">
        <v>248</v>
      </c>
      <c r="F43" s="27" t="b">
        <v>1</v>
      </c>
      <c r="G43" s="9">
        <v>4</v>
      </c>
      <c r="H43" s="24">
        <v>4</v>
      </c>
      <c r="I43" s="9">
        <v>4</v>
      </c>
      <c r="J43" s="24">
        <v>4</v>
      </c>
      <c r="K43" s="9">
        <v>4</v>
      </c>
      <c r="L43" s="24">
        <v>7</v>
      </c>
      <c r="M43" s="9">
        <v>4</v>
      </c>
      <c r="N43" s="24">
        <v>2</v>
      </c>
      <c r="O43" s="9">
        <v>4</v>
      </c>
      <c r="P43" s="24">
        <v>4</v>
      </c>
      <c r="Q43" s="9">
        <v>4</v>
      </c>
      <c r="R43" s="24">
        <v>4</v>
      </c>
      <c r="S43" s="9">
        <v>4</v>
      </c>
      <c r="T43" s="24">
        <v>4</v>
      </c>
      <c r="U43" s="9">
        <v>4</v>
      </c>
      <c r="V43" s="24">
        <v>5</v>
      </c>
      <c r="W43" s="9">
        <v>4</v>
      </c>
      <c r="X43" s="24">
        <v>2</v>
      </c>
      <c r="Y43" s="9">
        <v>4</v>
      </c>
      <c r="Z43" s="24"/>
      <c r="AA43" s="9">
        <v>4</v>
      </c>
      <c r="AB43" s="24"/>
      <c r="AC43" s="9">
        <v>4</v>
      </c>
      <c r="AD43" s="8"/>
      <c r="AE43" s="9">
        <f t="shared" si="0"/>
        <v>48</v>
      </c>
      <c r="AF43" s="63">
        <f t="shared" si="1"/>
        <v>0.75</v>
      </c>
    </row>
    <row r="44" spans="1:32">
      <c r="A44" s="7">
        <v>41</v>
      </c>
      <c r="B44" s="6">
        <v>1333</v>
      </c>
      <c r="C44" s="5" t="s">
        <v>262</v>
      </c>
      <c r="D44" s="5" t="s">
        <v>230</v>
      </c>
      <c r="E44" s="6" t="s">
        <v>248</v>
      </c>
      <c r="F44" s="27" t="b">
        <v>1</v>
      </c>
      <c r="G44" s="9">
        <v>4</v>
      </c>
      <c r="H44" s="24">
        <v>0</v>
      </c>
      <c r="I44" s="9">
        <v>4</v>
      </c>
      <c r="J44" s="24">
        <v>0</v>
      </c>
      <c r="K44" s="9">
        <v>4</v>
      </c>
      <c r="L44" s="24">
        <v>0</v>
      </c>
      <c r="M44" s="9">
        <v>4</v>
      </c>
      <c r="N44" s="24">
        <v>0</v>
      </c>
      <c r="O44" s="9">
        <v>4</v>
      </c>
      <c r="P44" s="24">
        <v>4</v>
      </c>
      <c r="Q44" s="9">
        <v>4</v>
      </c>
      <c r="R44" s="24">
        <v>4</v>
      </c>
      <c r="S44" s="9">
        <v>4</v>
      </c>
      <c r="T44" s="24">
        <v>4</v>
      </c>
      <c r="U44" s="9">
        <v>4</v>
      </c>
      <c r="V44" s="24">
        <v>4</v>
      </c>
      <c r="W44" s="9">
        <v>4</v>
      </c>
      <c r="X44" s="24"/>
      <c r="Y44" s="9">
        <v>4</v>
      </c>
      <c r="Z44" s="24"/>
      <c r="AA44" s="9">
        <v>4</v>
      </c>
      <c r="AB44" s="24"/>
      <c r="AC44" s="9">
        <v>4</v>
      </c>
      <c r="AD44" s="8"/>
      <c r="AE44" s="9">
        <f t="shared" si="0"/>
        <v>48</v>
      </c>
      <c r="AF44" s="63">
        <f t="shared" si="1"/>
        <v>0.33333333333333331</v>
      </c>
    </row>
    <row r="45" spans="1:32" hidden="1">
      <c r="A45" s="7">
        <v>42</v>
      </c>
      <c r="B45" s="6">
        <v>10261</v>
      </c>
      <c r="C45" s="5" t="s">
        <v>263</v>
      </c>
      <c r="D45" s="5" t="s">
        <v>212</v>
      </c>
      <c r="E45" s="6">
        <v>1100</v>
      </c>
      <c r="F45" s="27" t="b">
        <v>0</v>
      </c>
      <c r="G45" s="9">
        <v>0</v>
      </c>
      <c r="H45" s="24">
        <v>0</v>
      </c>
      <c r="I45" s="9">
        <v>0</v>
      </c>
      <c r="J45" s="24">
        <v>0</v>
      </c>
      <c r="K45" s="9">
        <v>0</v>
      </c>
      <c r="L45" s="24">
        <v>0</v>
      </c>
      <c r="M45" s="9">
        <v>0</v>
      </c>
      <c r="N45" s="24">
        <v>0</v>
      </c>
      <c r="O45" s="9">
        <v>0</v>
      </c>
      <c r="P45" s="24">
        <v>0</v>
      </c>
      <c r="Q45" s="9">
        <v>0</v>
      </c>
      <c r="R45" s="24">
        <v>0</v>
      </c>
      <c r="S45" s="9">
        <v>0</v>
      </c>
      <c r="T45" s="24">
        <v>0</v>
      </c>
      <c r="U45" s="9">
        <v>0</v>
      </c>
      <c r="V45" s="24">
        <v>0</v>
      </c>
      <c r="W45" s="9">
        <v>4</v>
      </c>
      <c r="X45" s="24"/>
      <c r="Y45" s="9">
        <v>4</v>
      </c>
      <c r="Z45" s="24"/>
      <c r="AA45" s="9">
        <v>4</v>
      </c>
      <c r="AB45" s="24"/>
      <c r="AC45" s="9">
        <v>4</v>
      </c>
      <c r="AD45" s="8"/>
      <c r="AE45" s="9">
        <f t="shared" si="0"/>
        <v>48</v>
      </c>
      <c r="AF45" s="63">
        <f t="shared" si="1"/>
        <v>0</v>
      </c>
    </row>
    <row r="46" spans="1:32" hidden="1">
      <c r="A46" s="7">
        <v>43</v>
      </c>
      <c r="B46" s="6">
        <v>1374</v>
      </c>
      <c r="C46" s="5" t="s">
        <v>264</v>
      </c>
      <c r="D46" s="5" t="s">
        <v>212</v>
      </c>
      <c r="E46" s="6" t="s">
        <v>213</v>
      </c>
      <c r="F46" s="27" t="b">
        <v>0</v>
      </c>
      <c r="G46" s="9">
        <v>0</v>
      </c>
      <c r="H46" s="24">
        <v>0</v>
      </c>
      <c r="I46" s="9">
        <v>0</v>
      </c>
      <c r="J46" s="24">
        <v>0</v>
      </c>
      <c r="K46" s="9">
        <v>0</v>
      </c>
      <c r="L46" s="24">
        <v>0</v>
      </c>
      <c r="M46" s="9">
        <v>0</v>
      </c>
      <c r="N46" s="24">
        <v>0</v>
      </c>
      <c r="O46" s="9">
        <v>0</v>
      </c>
      <c r="P46" s="24">
        <v>0</v>
      </c>
      <c r="Q46" s="9">
        <v>0</v>
      </c>
      <c r="R46" s="24">
        <v>0</v>
      </c>
      <c r="S46" s="9">
        <v>0</v>
      </c>
      <c r="T46" s="24">
        <v>0</v>
      </c>
      <c r="U46" s="9">
        <v>0</v>
      </c>
      <c r="V46" s="24">
        <v>0</v>
      </c>
      <c r="W46" s="9">
        <v>4</v>
      </c>
      <c r="X46" s="24"/>
      <c r="Y46" s="9">
        <v>4</v>
      </c>
      <c r="Z46" s="24"/>
      <c r="AA46" s="9">
        <v>4</v>
      </c>
      <c r="AB46" s="24"/>
      <c r="AC46" s="9">
        <v>4</v>
      </c>
      <c r="AD46" s="8"/>
      <c r="AE46" s="9">
        <f t="shared" si="0"/>
        <v>48</v>
      </c>
      <c r="AF46" s="63">
        <f t="shared" si="1"/>
        <v>0</v>
      </c>
    </row>
    <row r="47" spans="1:32" hidden="1">
      <c r="A47" s="7">
        <v>44</v>
      </c>
      <c r="B47" s="6">
        <v>1365</v>
      </c>
      <c r="C47" s="5" t="s">
        <v>265</v>
      </c>
      <c r="D47" s="5" t="s">
        <v>217</v>
      </c>
      <c r="E47" s="6" t="s">
        <v>77</v>
      </c>
      <c r="F47" s="27" t="b">
        <v>1</v>
      </c>
      <c r="G47" s="9">
        <v>4</v>
      </c>
      <c r="H47" s="24">
        <v>0</v>
      </c>
      <c r="I47" s="9">
        <v>4</v>
      </c>
      <c r="J47" s="24">
        <v>0</v>
      </c>
      <c r="K47" s="9">
        <v>4</v>
      </c>
      <c r="L47" s="24">
        <v>0</v>
      </c>
      <c r="M47" s="9">
        <v>4</v>
      </c>
      <c r="N47" s="24">
        <v>0</v>
      </c>
      <c r="O47" s="9">
        <v>4</v>
      </c>
      <c r="P47" s="24">
        <v>0</v>
      </c>
      <c r="Q47" s="9">
        <v>4</v>
      </c>
      <c r="R47" s="24">
        <v>5</v>
      </c>
      <c r="S47" s="9">
        <v>4</v>
      </c>
      <c r="T47" s="24">
        <v>4</v>
      </c>
      <c r="U47" s="9">
        <v>4</v>
      </c>
      <c r="V47" s="24">
        <v>3</v>
      </c>
      <c r="W47" s="9">
        <v>4</v>
      </c>
      <c r="X47" s="24"/>
      <c r="Y47" s="9">
        <v>4</v>
      </c>
      <c r="Z47" s="24"/>
      <c r="AA47" s="9">
        <v>4</v>
      </c>
      <c r="AB47" s="24"/>
      <c r="AC47" s="9">
        <v>4</v>
      </c>
      <c r="AD47" s="8"/>
      <c r="AE47" s="9">
        <f t="shared" si="0"/>
        <v>48</v>
      </c>
      <c r="AF47" s="63">
        <f t="shared" si="1"/>
        <v>0.25</v>
      </c>
    </row>
    <row r="48" spans="1:32">
      <c r="A48" s="7">
        <v>45</v>
      </c>
      <c r="B48" s="6">
        <v>1459</v>
      </c>
      <c r="C48" s="5" t="s">
        <v>266</v>
      </c>
      <c r="D48" s="5" t="s">
        <v>217</v>
      </c>
      <c r="E48" s="6" t="s">
        <v>225</v>
      </c>
      <c r="F48" s="27" t="b">
        <v>1</v>
      </c>
      <c r="G48" s="9">
        <v>4</v>
      </c>
      <c r="H48" s="24">
        <v>12</v>
      </c>
      <c r="I48" s="9">
        <v>4</v>
      </c>
      <c r="J48" s="24">
        <v>8</v>
      </c>
      <c r="K48" s="9">
        <v>4</v>
      </c>
      <c r="L48" s="24">
        <v>2</v>
      </c>
      <c r="M48" s="9">
        <v>4</v>
      </c>
      <c r="N48" s="24">
        <v>0</v>
      </c>
      <c r="O48" s="9">
        <v>4</v>
      </c>
      <c r="P48" s="24">
        <v>4</v>
      </c>
      <c r="Q48" s="9">
        <v>4</v>
      </c>
      <c r="R48" s="24">
        <v>4</v>
      </c>
      <c r="S48" s="9">
        <v>4</v>
      </c>
      <c r="T48" s="24">
        <v>6</v>
      </c>
      <c r="U48" s="9">
        <v>4</v>
      </c>
      <c r="V48" s="24">
        <v>7</v>
      </c>
      <c r="W48" s="9">
        <v>4</v>
      </c>
      <c r="X48" s="24">
        <v>2</v>
      </c>
      <c r="Y48" s="9">
        <v>4</v>
      </c>
      <c r="Z48" s="24"/>
      <c r="AA48" s="9">
        <v>4</v>
      </c>
      <c r="AB48" s="24"/>
      <c r="AC48" s="9">
        <v>4</v>
      </c>
      <c r="AD48" s="8"/>
      <c r="AE48" s="9">
        <f t="shared" si="0"/>
        <v>48</v>
      </c>
      <c r="AF48" s="63">
        <f t="shared" si="1"/>
        <v>0.9375</v>
      </c>
    </row>
    <row r="49" spans="1:33">
      <c r="A49" s="7">
        <v>46</v>
      </c>
      <c r="B49" s="6">
        <v>3062</v>
      </c>
      <c r="C49" s="5" t="s">
        <v>267</v>
      </c>
      <c r="D49" s="5" t="s">
        <v>217</v>
      </c>
      <c r="E49" s="6" t="s">
        <v>59</v>
      </c>
      <c r="F49" s="27" t="b">
        <v>1</v>
      </c>
      <c r="G49" s="9">
        <v>4</v>
      </c>
      <c r="H49" s="24">
        <v>2</v>
      </c>
      <c r="I49" s="9">
        <v>4</v>
      </c>
      <c r="J49" s="24">
        <v>1</v>
      </c>
      <c r="K49" s="9">
        <v>4</v>
      </c>
      <c r="L49" s="24">
        <v>3</v>
      </c>
      <c r="M49" s="9">
        <v>4</v>
      </c>
      <c r="N49" s="24">
        <v>0</v>
      </c>
      <c r="O49" s="9">
        <v>4</v>
      </c>
      <c r="P49" s="24">
        <v>6</v>
      </c>
      <c r="Q49" s="9">
        <v>4</v>
      </c>
      <c r="R49" s="24">
        <v>4</v>
      </c>
      <c r="S49" s="9">
        <v>4</v>
      </c>
      <c r="T49" s="24">
        <v>4</v>
      </c>
      <c r="U49" s="9">
        <v>4</v>
      </c>
      <c r="V49" s="24">
        <v>4</v>
      </c>
      <c r="W49" s="9">
        <v>4</v>
      </c>
      <c r="X49" s="24">
        <v>1</v>
      </c>
      <c r="Y49" s="9">
        <v>4</v>
      </c>
      <c r="Z49" s="24"/>
      <c r="AA49" s="9">
        <v>4</v>
      </c>
      <c r="AB49" s="24"/>
      <c r="AC49" s="9">
        <v>4</v>
      </c>
      <c r="AD49" s="8"/>
      <c r="AE49" s="9">
        <f t="shared" si="0"/>
        <v>48</v>
      </c>
      <c r="AF49" s="63">
        <f t="shared" si="1"/>
        <v>0.52083333333333337</v>
      </c>
    </row>
    <row r="50" spans="1:33" hidden="1">
      <c r="A50" s="7">
        <v>47</v>
      </c>
      <c r="B50" s="6">
        <v>1415</v>
      </c>
      <c r="C50" s="5" t="s">
        <v>268</v>
      </c>
      <c r="D50" s="5" t="s">
        <v>220</v>
      </c>
      <c r="E50" s="6" t="s">
        <v>72</v>
      </c>
      <c r="F50" s="27" t="b">
        <v>1</v>
      </c>
      <c r="G50" s="9">
        <v>4</v>
      </c>
      <c r="H50" s="24">
        <v>0</v>
      </c>
      <c r="I50" s="9">
        <v>4</v>
      </c>
      <c r="J50" s="24">
        <v>0</v>
      </c>
      <c r="K50" s="9">
        <v>4</v>
      </c>
      <c r="L50" s="24">
        <v>0</v>
      </c>
      <c r="M50" s="9">
        <v>4</v>
      </c>
      <c r="N50" s="24">
        <v>0</v>
      </c>
      <c r="O50" s="9">
        <v>4</v>
      </c>
      <c r="P50" s="24">
        <v>0</v>
      </c>
      <c r="Q50" s="9">
        <v>4</v>
      </c>
      <c r="R50" s="24">
        <v>1</v>
      </c>
      <c r="S50" s="9">
        <v>4</v>
      </c>
      <c r="T50" s="24">
        <v>1</v>
      </c>
      <c r="U50" s="9">
        <v>4</v>
      </c>
      <c r="V50" s="24">
        <v>3</v>
      </c>
      <c r="W50" s="9">
        <v>4</v>
      </c>
      <c r="X50" s="24"/>
      <c r="Y50" s="9">
        <v>4</v>
      </c>
      <c r="Z50" s="24"/>
      <c r="AA50" s="9">
        <v>4</v>
      </c>
      <c r="AB50" s="24"/>
      <c r="AC50" s="9">
        <v>4</v>
      </c>
      <c r="AD50" s="8"/>
      <c r="AE50" s="9">
        <f t="shared" si="0"/>
        <v>48</v>
      </c>
      <c r="AF50" s="63">
        <f t="shared" si="1"/>
        <v>0.10416666666666667</v>
      </c>
    </row>
    <row r="51" spans="1:33" hidden="1">
      <c r="A51" s="7">
        <v>48</v>
      </c>
      <c r="B51" s="6">
        <v>10765</v>
      </c>
      <c r="C51" s="5" t="s">
        <v>269</v>
      </c>
      <c r="D51" s="5" t="s">
        <v>217</v>
      </c>
      <c r="E51" s="6" t="s">
        <v>77</v>
      </c>
      <c r="F51" s="27" t="b">
        <v>1</v>
      </c>
      <c r="G51" s="9">
        <v>4</v>
      </c>
      <c r="H51" s="24">
        <v>0</v>
      </c>
      <c r="I51" s="9">
        <v>4</v>
      </c>
      <c r="J51" s="24">
        <v>0</v>
      </c>
      <c r="K51" s="9">
        <v>4</v>
      </c>
      <c r="L51" s="24">
        <v>0</v>
      </c>
      <c r="M51" s="9">
        <v>4</v>
      </c>
      <c r="N51" s="24">
        <v>0</v>
      </c>
      <c r="O51" s="9">
        <v>4</v>
      </c>
      <c r="P51" s="24">
        <v>0</v>
      </c>
      <c r="Q51" s="9">
        <v>4</v>
      </c>
      <c r="R51" s="24">
        <v>0</v>
      </c>
      <c r="S51" s="9">
        <v>4</v>
      </c>
      <c r="T51" s="24">
        <v>0</v>
      </c>
      <c r="U51" s="9">
        <v>4</v>
      </c>
      <c r="V51" s="24">
        <v>0</v>
      </c>
      <c r="W51" s="9">
        <v>4</v>
      </c>
      <c r="X51" s="24"/>
      <c r="Y51" s="9">
        <v>4</v>
      </c>
      <c r="Z51" s="24"/>
      <c r="AA51" s="9">
        <v>4</v>
      </c>
      <c r="AB51" s="24"/>
      <c r="AC51" s="9">
        <v>4</v>
      </c>
      <c r="AD51" s="8"/>
      <c r="AE51" s="9">
        <f t="shared" si="0"/>
        <v>48</v>
      </c>
      <c r="AF51" s="63">
        <f t="shared" si="1"/>
        <v>0</v>
      </c>
    </row>
    <row r="52" spans="1:33" hidden="1">
      <c r="A52" s="7">
        <v>49</v>
      </c>
      <c r="B52" s="6">
        <v>11387</v>
      </c>
      <c r="C52" s="5" t="s">
        <v>270</v>
      </c>
      <c r="D52" s="5" t="s">
        <v>217</v>
      </c>
      <c r="E52" s="6" t="s">
        <v>77</v>
      </c>
      <c r="F52" s="27" t="b">
        <v>1</v>
      </c>
      <c r="G52" s="9">
        <v>4</v>
      </c>
      <c r="H52" s="24">
        <v>0</v>
      </c>
      <c r="I52" s="9">
        <v>4</v>
      </c>
      <c r="J52" s="24">
        <v>0</v>
      </c>
      <c r="K52" s="9">
        <v>4</v>
      </c>
      <c r="L52" s="24">
        <v>0</v>
      </c>
      <c r="M52" s="9">
        <v>4</v>
      </c>
      <c r="N52" s="24">
        <v>0</v>
      </c>
      <c r="O52" s="9">
        <v>4</v>
      </c>
      <c r="P52" s="24">
        <v>0</v>
      </c>
      <c r="Q52" s="9">
        <v>4</v>
      </c>
      <c r="R52" s="24">
        <v>6</v>
      </c>
      <c r="S52" s="9">
        <v>4</v>
      </c>
      <c r="T52" s="24">
        <v>5</v>
      </c>
      <c r="U52" s="9">
        <v>4</v>
      </c>
      <c r="V52" s="24">
        <v>4</v>
      </c>
      <c r="W52" s="9">
        <v>4</v>
      </c>
      <c r="X52" s="24">
        <v>1</v>
      </c>
      <c r="Y52" s="9">
        <v>4</v>
      </c>
      <c r="Z52" s="24"/>
      <c r="AA52" s="9">
        <v>4</v>
      </c>
      <c r="AB52" s="24"/>
      <c r="AC52" s="9">
        <v>4</v>
      </c>
      <c r="AD52" s="8"/>
      <c r="AE52" s="9">
        <f t="shared" si="0"/>
        <v>48</v>
      </c>
      <c r="AF52" s="63">
        <f t="shared" si="1"/>
        <v>0.33333333333333331</v>
      </c>
    </row>
    <row r="53" spans="1:33">
      <c r="A53" s="7">
        <v>50</v>
      </c>
      <c r="B53" s="6">
        <v>12249</v>
      </c>
      <c r="C53" s="5" t="s">
        <v>271</v>
      </c>
      <c r="D53" s="5" t="s">
        <v>217</v>
      </c>
      <c r="E53" s="6">
        <v>4110</v>
      </c>
      <c r="F53" s="27" t="b">
        <v>1</v>
      </c>
      <c r="G53" s="9">
        <v>4</v>
      </c>
      <c r="H53" s="24">
        <v>0</v>
      </c>
      <c r="I53" s="9">
        <v>4</v>
      </c>
      <c r="J53" s="24">
        <v>0</v>
      </c>
      <c r="K53" s="9">
        <v>4</v>
      </c>
      <c r="L53" s="24">
        <v>0</v>
      </c>
      <c r="M53" s="9">
        <v>4</v>
      </c>
      <c r="N53" s="24">
        <v>1</v>
      </c>
      <c r="O53" s="9">
        <v>4</v>
      </c>
      <c r="P53" s="24">
        <v>6</v>
      </c>
      <c r="Q53" s="9">
        <v>4</v>
      </c>
      <c r="R53" s="24">
        <v>5</v>
      </c>
      <c r="S53" s="9">
        <v>4</v>
      </c>
      <c r="T53" s="24">
        <v>5</v>
      </c>
      <c r="U53" s="9">
        <v>4</v>
      </c>
      <c r="V53" s="24">
        <v>5</v>
      </c>
      <c r="W53" s="9">
        <v>4</v>
      </c>
      <c r="X53" s="24"/>
      <c r="Y53" s="9">
        <v>4</v>
      </c>
      <c r="Z53" s="24"/>
      <c r="AA53" s="9">
        <v>4</v>
      </c>
      <c r="AB53" s="24"/>
      <c r="AC53" s="9">
        <v>4</v>
      </c>
      <c r="AD53" s="8"/>
      <c r="AE53" s="9">
        <f t="shared" si="0"/>
        <v>48</v>
      </c>
      <c r="AF53" s="63">
        <f t="shared" si="1"/>
        <v>0.45833333333333331</v>
      </c>
    </row>
    <row r="54" spans="1:33">
      <c r="A54" s="7">
        <v>51</v>
      </c>
      <c r="B54" s="6">
        <v>12583</v>
      </c>
      <c r="C54" s="5" t="s">
        <v>272</v>
      </c>
      <c r="D54" s="5" t="s">
        <v>217</v>
      </c>
      <c r="E54" s="6">
        <v>3200</v>
      </c>
      <c r="F54" s="27" t="b">
        <v>1</v>
      </c>
      <c r="G54" s="9">
        <v>4</v>
      </c>
      <c r="H54" s="24">
        <v>0</v>
      </c>
      <c r="I54" s="9">
        <v>4</v>
      </c>
      <c r="J54" s="24">
        <v>0</v>
      </c>
      <c r="K54" s="9">
        <v>4</v>
      </c>
      <c r="L54" s="24">
        <v>0</v>
      </c>
      <c r="M54" s="9">
        <v>4</v>
      </c>
      <c r="N54" s="24">
        <v>0</v>
      </c>
      <c r="O54" s="9">
        <v>4</v>
      </c>
      <c r="P54" s="24">
        <v>4</v>
      </c>
      <c r="Q54" s="9">
        <v>4</v>
      </c>
      <c r="R54" s="24">
        <v>4</v>
      </c>
      <c r="S54" s="9">
        <v>4</v>
      </c>
      <c r="T54" s="24">
        <v>5</v>
      </c>
      <c r="U54" s="9">
        <v>4</v>
      </c>
      <c r="V54" s="24">
        <v>5</v>
      </c>
      <c r="W54" s="9">
        <v>4</v>
      </c>
      <c r="X54" s="24">
        <v>1</v>
      </c>
      <c r="Y54" s="9">
        <v>4</v>
      </c>
      <c r="Z54" s="24"/>
      <c r="AA54" s="9">
        <v>4</v>
      </c>
      <c r="AB54" s="24"/>
      <c r="AC54" s="9">
        <v>4</v>
      </c>
      <c r="AD54" s="8"/>
      <c r="AE54" s="9">
        <f t="shared" si="0"/>
        <v>48</v>
      </c>
      <c r="AF54" s="63">
        <f t="shared" si="1"/>
        <v>0.39583333333333331</v>
      </c>
    </row>
    <row r="55" spans="1:33">
      <c r="B55" s="6"/>
      <c r="C55" s="5"/>
      <c r="D55" s="5"/>
      <c r="E55" s="6"/>
      <c r="F55" s="6"/>
      <c r="G55" s="9">
        <f>SUMIF($F4:$F54,$F47,G4:G54)</f>
        <v>112</v>
      </c>
      <c r="H55" s="9">
        <f>SUM(H4:H53)</f>
        <v>18</v>
      </c>
      <c r="I55" s="9">
        <f>SUMIF($F4:$F54,$F47,I4:I54)</f>
        <v>136</v>
      </c>
      <c r="J55" s="9">
        <f>SUM(J4:J53)</f>
        <v>23</v>
      </c>
      <c r="K55" s="9">
        <f>SUMIF($F4:$F54,$F47,K4:K54)</f>
        <v>136</v>
      </c>
      <c r="L55" s="9">
        <f>SUM(L4:L53)</f>
        <v>35</v>
      </c>
      <c r="M55" s="9">
        <f>SUMIF($F4:$F54,$F47,M4:M54)</f>
        <v>136</v>
      </c>
      <c r="N55" s="9">
        <f>SUM(N4:N53)</f>
        <v>17</v>
      </c>
      <c r="O55" s="9">
        <f>SUMIF($F4:$F54,$F47,O4:O54)</f>
        <v>172</v>
      </c>
      <c r="P55" s="9">
        <f t="shared" ref="P55:V55" si="2">SUM(P4:P54)</f>
        <v>71</v>
      </c>
      <c r="Q55" s="9">
        <f>SUMIF($F4:$F54,$F47,Q4:Q54)</f>
        <v>136</v>
      </c>
      <c r="R55" s="9">
        <f t="shared" si="2"/>
        <v>107</v>
      </c>
      <c r="S55" s="9">
        <f>SUMIF($F4:$F54,$F47,S4:S54)</f>
        <v>136</v>
      </c>
      <c r="T55" s="9">
        <f t="shared" si="2"/>
        <v>101</v>
      </c>
      <c r="U55" s="9">
        <f>SUMIF($F4:$F54,$F47,U4:U54)</f>
        <v>136</v>
      </c>
      <c r="V55" s="9">
        <f>SUM(V4:V54)</f>
        <v>93</v>
      </c>
      <c r="W55" s="9">
        <f>SUMIF(V4:V54,V47,W4:W54)</f>
        <v>8</v>
      </c>
      <c r="X55" s="9">
        <f t="shared" ref="X55:AD55" si="3">SUM(X4:X52)</f>
        <v>14</v>
      </c>
      <c r="Y55" s="9">
        <f t="shared" si="3"/>
        <v>196</v>
      </c>
      <c r="Z55" s="9">
        <f t="shared" si="3"/>
        <v>0</v>
      </c>
      <c r="AA55" s="9">
        <f t="shared" si="3"/>
        <v>196</v>
      </c>
      <c r="AB55" s="9">
        <f t="shared" si="3"/>
        <v>0</v>
      </c>
      <c r="AC55" s="9">
        <f t="shared" si="3"/>
        <v>196</v>
      </c>
      <c r="AD55" s="9">
        <f t="shared" si="3"/>
        <v>0</v>
      </c>
      <c r="AE55" s="9">
        <f t="shared" ref="AE55:AF55" si="4">SUM(AE4:AE52)</f>
        <v>2352</v>
      </c>
      <c r="AF55" s="9">
        <f t="shared" si="4"/>
        <v>9.1458333333333321</v>
      </c>
      <c r="AG55" s="49" t="s">
        <v>273</v>
      </c>
    </row>
    <row r="56" spans="1:33" ht="12" customHeight="1">
      <c r="E56" s="79" t="s">
        <v>274</v>
      </c>
      <c r="F56" s="79"/>
      <c r="G56" s="81">
        <f>H55/G55</f>
        <v>0.16071428571428573</v>
      </c>
      <c r="H56" s="81"/>
      <c r="I56" s="81">
        <f t="shared" ref="I56" si="5">J55/I55</f>
        <v>0.16911764705882354</v>
      </c>
      <c r="J56" s="81"/>
      <c r="K56" s="81">
        <f>L55/K55</f>
        <v>0.25735294117647056</v>
      </c>
      <c r="L56" s="81"/>
      <c r="M56" s="81">
        <f t="shared" ref="M56" si="6">N55/M55</f>
        <v>0.125</v>
      </c>
      <c r="N56" s="81"/>
      <c r="O56" s="81">
        <f t="shared" ref="O56" si="7">P55/O55</f>
        <v>0.41279069767441862</v>
      </c>
      <c r="P56" s="81"/>
      <c r="Q56" s="81">
        <f>R55/Q55</f>
        <v>0.78676470588235292</v>
      </c>
      <c r="R56" s="81"/>
      <c r="S56" s="51">
        <f>T55/S55</f>
        <v>0.74264705882352944</v>
      </c>
      <c r="T56" s="51"/>
      <c r="U56" s="51">
        <f t="shared" ref="U56" si="8">V55/U55</f>
        <v>0.68382352941176472</v>
      </c>
      <c r="V56" s="51"/>
      <c r="W56" s="81">
        <f t="shared" ref="W56" si="9">X55/W55</f>
        <v>1.75</v>
      </c>
      <c r="X56" s="81"/>
      <c r="Y56" s="81">
        <f t="shared" ref="Y56" si="10">Z55/Y55</f>
        <v>0</v>
      </c>
      <c r="Z56" s="81"/>
      <c r="AA56" s="81">
        <f t="shared" ref="AA56" si="11">AB55/AA55</f>
        <v>0</v>
      </c>
      <c r="AB56" s="81"/>
      <c r="AC56" s="81">
        <f t="shared" ref="AC56" si="12">AD55/AC55</f>
        <v>0</v>
      </c>
      <c r="AD56" s="81"/>
      <c r="AE56" s="81">
        <f t="shared" ref="AE56" si="13">AF55/AE55</f>
        <v>3.8885345804988659E-3</v>
      </c>
      <c r="AF56" s="81"/>
      <c r="AG56" s="3">
        <f>110-83</f>
        <v>27</v>
      </c>
    </row>
    <row r="57" spans="1:33" ht="12" customHeight="1"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51"/>
      <c r="T57" s="51"/>
      <c r="U57" s="51"/>
      <c r="V57" s="5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3">
        <f>AG56/4</f>
        <v>6.75</v>
      </c>
    </row>
    <row r="58" spans="1:33">
      <c r="F58" s="9" t="s">
        <v>275</v>
      </c>
      <c r="G58" s="9">
        <v>52</v>
      </c>
      <c r="H58" s="9">
        <f>H55</f>
        <v>18</v>
      </c>
      <c r="I58" s="9">
        <v>52</v>
      </c>
      <c r="J58" s="9">
        <f>J55</f>
        <v>23</v>
      </c>
      <c r="K58" s="9">
        <f>13*4</f>
        <v>52</v>
      </c>
      <c r="L58" s="9">
        <f>L55</f>
        <v>35</v>
      </c>
      <c r="M58" s="9">
        <f>13*4</f>
        <v>52</v>
      </c>
      <c r="N58" s="9">
        <f>N55</f>
        <v>17</v>
      </c>
      <c r="O58" s="9">
        <f t="shared" ref="O58:T58" si="14">SUM(O4:O54)</f>
        <v>172</v>
      </c>
      <c r="P58" s="9">
        <f t="shared" si="14"/>
        <v>71</v>
      </c>
      <c r="Q58" s="9">
        <f t="shared" si="14"/>
        <v>136</v>
      </c>
      <c r="R58" s="9">
        <f t="shared" si="14"/>
        <v>107</v>
      </c>
      <c r="S58" s="9">
        <f t="shared" si="14"/>
        <v>136</v>
      </c>
      <c r="T58" s="9">
        <f t="shared" si="14"/>
        <v>101</v>
      </c>
      <c r="U58" s="9">
        <f>34*4</f>
        <v>136</v>
      </c>
      <c r="V58" s="9">
        <v>70</v>
      </c>
    </row>
    <row r="59" spans="1:33" ht="12" customHeight="1">
      <c r="G59" s="82">
        <f>H58/G58</f>
        <v>0.34615384615384615</v>
      </c>
      <c r="H59" s="82"/>
      <c r="I59" s="82">
        <f>J58/I58</f>
        <v>0.44230769230769229</v>
      </c>
      <c r="J59" s="82"/>
      <c r="K59" s="82">
        <f>L58/K58</f>
        <v>0.67307692307692313</v>
      </c>
      <c r="L59" s="82"/>
      <c r="M59" s="82">
        <f>N58/M58</f>
        <v>0.32692307692307693</v>
      </c>
      <c r="N59" s="82"/>
      <c r="O59" s="82">
        <f t="shared" ref="O59" si="15">P58/O58</f>
        <v>0.41279069767441862</v>
      </c>
      <c r="P59" s="82"/>
      <c r="Q59" s="82">
        <f>R58/Q58</f>
        <v>0.78676470588235292</v>
      </c>
      <c r="R59" s="82"/>
      <c r="S59" s="82">
        <f>T58/S58</f>
        <v>0.74264705882352944</v>
      </c>
      <c r="T59" s="82"/>
      <c r="U59" s="82">
        <f>V58/U58</f>
        <v>0.51470588235294112</v>
      </c>
      <c r="V59" s="82"/>
    </row>
    <row r="60" spans="1:33" ht="12" customHeight="1"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</row>
    <row r="66" spans="1:32" ht="14.45" customHeight="1">
      <c r="D66" s="72" t="s">
        <v>276</v>
      </c>
      <c r="E66" s="72"/>
      <c r="F66" s="72"/>
    </row>
    <row r="67" spans="1:32">
      <c r="G67" s="77" t="s">
        <v>34</v>
      </c>
      <c r="H67" s="77"/>
      <c r="I67" s="77" t="s">
        <v>35</v>
      </c>
      <c r="J67" s="77"/>
      <c r="K67" s="77" t="s">
        <v>36</v>
      </c>
      <c r="L67" s="77"/>
      <c r="M67" s="77" t="s">
        <v>37</v>
      </c>
      <c r="N67" s="77"/>
      <c r="O67" s="77" t="s">
        <v>38</v>
      </c>
      <c r="P67" s="77"/>
      <c r="Q67" s="77" t="s">
        <v>39</v>
      </c>
      <c r="R67" s="77"/>
      <c r="S67" s="77" t="s">
        <v>40</v>
      </c>
      <c r="T67" s="77"/>
      <c r="U67" s="78" t="s">
        <v>41</v>
      </c>
      <c r="V67" s="78"/>
      <c r="W67" s="77" t="s">
        <v>42</v>
      </c>
      <c r="X67" s="77"/>
      <c r="Y67" s="77" t="s">
        <v>43</v>
      </c>
      <c r="Z67" s="77"/>
      <c r="AA67" s="77" t="s">
        <v>44</v>
      </c>
      <c r="AB67" s="77"/>
      <c r="AC67" s="77" t="s">
        <v>45</v>
      </c>
      <c r="AD67" s="77"/>
      <c r="AE67" s="76" t="s">
        <v>46</v>
      </c>
      <c r="AF67" s="76"/>
    </row>
    <row r="68" spans="1:32" hidden="1">
      <c r="E68" s="3"/>
      <c r="F68" s="67" t="s">
        <v>58</v>
      </c>
      <c r="G68" s="67">
        <v>48</v>
      </c>
      <c r="H68" s="67">
        <v>18</v>
      </c>
      <c r="I68" s="67">
        <v>48</v>
      </c>
      <c r="J68" s="67">
        <v>23</v>
      </c>
      <c r="K68" s="67">
        <v>48</v>
      </c>
      <c r="L68" s="67">
        <v>35</v>
      </c>
      <c r="M68" s="67">
        <v>48</v>
      </c>
      <c r="N68" s="67">
        <v>17</v>
      </c>
      <c r="O68" s="67">
        <v>48</v>
      </c>
      <c r="P68" s="67">
        <v>60</v>
      </c>
      <c r="Q68" s="67">
        <v>48</v>
      </c>
      <c r="R68" s="67">
        <v>61</v>
      </c>
      <c r="S68" s="67">
        <v>48</v>
      </c>
      <c r="T68" s="67">
        <v>59</v>
      </c>
      <c r="U68" s="67">
        <v>48</v>
      </c>
      <c r="V68" s="67">
        <v>64</v>
      </c>
      <c r="W68" s="67">
        <v>48</v>
      </c>
      <c r="X68" s="67">
        <v>0</v>
      </c>
      <c r="Y68" s="67">
        <v>48</v>
      </c>
      <c r="Z68" s="67">
        <v>0</v>
      </c>
      <c r="AA68" s="67">
        <v>48</v>
      </c>
      <c r="AB68" s="67">
        <v>0</v>
      </c>
      <c r="AC68" s="67">
        <v>48</v>
      </c>
      <c r="AD68" s="67">
        <v>0</v>
      </c>
      <c r="AE68" s="67">
        <f>SUM(G68,I68,K68,M68,O68,Q68,S68,U68,W68,Y68,AA68,AC68)</f>
        <v>576</v>
      </c>
      <c r="AF68" s="67">
        <f>SUM(H68,J68,L68,N68,P68,R68,T68,V68,X68,Z68,AB68,AD68)</f>
        <v>337</v>
      </c>
    </row>
    <row r="69" spans="1:32">
      <c r="F69" s="68" t="s">
        <v>277</v>
      </c>
      <c r="G69" s="73">
        <f>H68/G68</f>
        <v>0.375</v>
      </c>
      <c r="H69" s="73"/>
      <c r="I69" s="73">
        <f t="shared" ref="I69" si="16">J68/I68</f>
        <v>0.47916666666666669</v>
      </c>
      <c r="J69" s="73"/>
      <c r="K69" s="73">
        <f t="shared" ref="K69" si="17">L68/K68</f>
        <v>0.72916666666666663</v>
      </c>
      <c r="L69" s="73"/>
      <c r="M69" s="73">
        <f t="shared" ref="M69" si="18">N68/M68</f>
        <v>0.35416666666666669</v>
      </c>
      <c r="N69" s="73"/>
      <c r="O69" s="73">
        <f t="shared" ref="O69" si="19">P68/O68</f>
        <v>1.25</v>
      </c>
      <c r="P69" s="73"/>
      <c r="Q69" s="73">
        <f t="shared" ref="Q69" si="20">R68/Q68</f>
        <v>1.2708333333333333</v>
      </c>
      <c r="R69" s="73"/>
      <c r="S69" s="73">
        <f t="shared" ref="S69" si="21">T68/S68</f>
        <v>1.2291666666666667</v>
      </c>
      <c r="T69" s="73"/>
      <c r="U69" s="73">
        <f t="shared" ref="U69" si="22">V68/U68</f>
        <v>1.3333333333333333</v>
      </c>
      <c r="V69" s="73"/>
      <c r="W69" s="73">
        <f t="shared" ref="W69" si="23">X68/W68</f>
        <v>0</v>
      </c>
      <c r="X69" s="73"/>
      <c r="Y69" s="73">
        <f t="shared" ref="Y69" si="24">Z68/Y68</f>
        <v>0</v>
      </c>
      <c r="Z69" s="73"/>
      <c r="AA69" s="73">
        <f t="shared" ref="AA69" si="25">AB68/AA68</f>
        <v>0</v>
      </c>
      <c r="AB69" s="73"/>
      <c r="AC69" s="73">
        <f t="shared" ref="AC69" si="26">AD68/AC68</f>
        <v>0</v>
      </c>
      <c r="AD69" s="73"/>
      <c r="AE69" s="74">
        <f>AF68/AE68</f>
        <v>0.58506944444444442</v>
      </c>
      <c r="AF69" s="75"/>
    </row>
    <row r="70" spans="1:32" hidden="1">
      <c r="F70" s="67" t="s">
        <v>80</v>
      </c>
      <c r="G70" s="67">
        <v>32</v>
      </c>
      <c r="H70" s="67">
        <v>0</v>
      </c>
      <c r="I70" s="67">
        <v>32</v>
      </c>
      <c r="J70" s="67">
        <v>0</v>
      </c>
      <c r="K70" s="67">
        <v>32</v>
      </c>
      <c r="L70" s="67">
        <v>0</v>
      </c>
      <c r="M70" s="67">
        <v>32</v>
      </c>
      <c r="N70" s="67">
        <v>0</v>
      </c>
      <c r="O70" s="67">
        <v>32</v>
      </c>
      <c r="P70" s="67">
        <v>0</v>
      </c>
      <c r="Q70" s="67">
        <v>32</v>
      </c>
      <c r="R70" s="67">
        <v>18</v>
      </c>
      <c r="S70" s="67">
        <v>32</v>
      </c>
      <c r="T70" s="67">
        <v>3</v>
      </c>
      <c r="U70" s="67">
        <v>32</v>
      </c>
      <c r="V70" s="67">
        <v>2</v>
      </c>
      <c r="W70" s="67">
        <v>32</v>
      </c>
      <c r="X70" s="67">
        <v>0</v>
      </c>
      <c r="Y70" s="67">
        <v>32</v>
      </c>
      <c r="Z70" s="67">
        <v>0</v>
      </c>
      <c r="AA70" s="67">
        <v>32</v>
      </c>
      <c r="AB70" s="67">
        <v>0</v>
      </c>
      <c r="AC70" s="67">
        <v>32</v>
      </c>
      <c r="AD70" s="67">
        <v>0</v>
      </c>
      <c r="AE70" s="67">
        <f t="shared" ref="AE69:AE75" si="27">SUM(G70,I70,K70,M70,O70,Q70,S70,U70,W70,Y70,AA70,AC70)</f>
        <v>384</v>
      </c>
      <c r="AF70" s="67">
        <f t="shared" ref="AF69:AF75" si="28">SUM(H70,J70,L70,N70,P70,R70,T70,V70,X70,Z70,AB70,AD70)</f>
        <v>23</v>
      </c>
    </row>
    <row r="71" spans="1:32" s="70" customFormat="1">
      <c r="A71" s="69"/>
      <c r="B71" s="50"/>
      <c r="E71" s="50"/>
      <c r="F71" s="68" t="s">
        <v>278</v>
      </c>
      <c r="G71" s="73">
        <f>H70/G70</f>
        <v>0</v>
      </c>
      <c r="H71" s="73"/>
      <c r="I71" s="73">
        <f t="shared" ref="I71" si="29">J70/I70</f>
        <v>0</v>
      </c>
      <c r="J71" s="73"/>
      <c r="K71" s="73">
        <f t="shared" ref="K71" si="30">L70/K70</f>
        <v>0</v>
      </c>
      <c r="L71" s="73"/>
      <c r="M71" s="73">
        <f t="shared" ref="M71" si="31">N70/M70</f>
        <v>0</v>
      </c>
      <c r="N71" s="73"/>
      <c r="O71" s="73">
        <f t="shared" ref="O71" si="32">P70/O70</f>
        <v>0</v>
      </c>
      <c r="P71" s="73"/>
      <c r="Q71" s="73">
        <f t="shared" ref="Q71" si="33">R70/Q70</f>
        <v>0.5625</v>
      </c>
      <c r="R71" s="73"/>
      <c r="S71" s="73">
        <f t="shared" ref="S71" si="34">T70/S70</f>
        <v>9.375E-2</v>
      </c>
      <c r="T71" s="73"/>
      <c r="U71" s="73">
        <f t="shared" ref="U71" si="35">V70/U70</f>
        <v>6.25E-2</v>
      </c>
      <c r="V71" s="73"/>
      <c r="W71" s="73">
        <f t="shared" ref="W71" si="36">X70/W70</f>
        <v>0</v>
      </c>
      <c r="X71" s="73"/>
      <c r="Y71" s="73">
        <f t="shared" ref="Y71" si="37">Z70/Y70</f>
        <v>0</v>
      </c>
      <c r="Z71" s="73"/>
      <c r="AA71" s="73">
        <f t="shared" ref="AA71" si="38">AB70/AA70</f>
        <v>0</v>
      </c>
      <c r="AB71" s="73"/>
      <c r="AC71" s="73">
        <f t="shared" ref="AC71" si="39">AD70/AC70</f>
        <v>0</v>
      </c>
      <c r="AD71" s="73"/>
      <c r="AE71" s="74">
        <f>AF70/AE70</f>
        <v>5.9895833333333336E-2</v>
      </c>
      <c r="AF71" s="75"/>
    </row>
    <row r="72" spans="1:32" hidden="1">
      <c r="F72" s="67" t="s">
        <v>75</v>
      </c>
      <c r="G72" s="67">
        <v>40</v>
      </c>
      <c r="H72" s="67">
        <v>0</v>
      </c>
      <c r="I72" s="67">
        <v>40</v>
      </c>
      <c r="J72" s="67">
        <v>0</v>
      </c>
      <c r="K72" s="67">
        <v>40</v>
      </c>
      <c r="L72" s="67">
        <v>0</v>
      </c>
      <c r="M72" s="67">
        <v>40</v>
      </c>
      <c r="N72" s="67">
        <v>0</v>
      </c>
      <c r="O72" s="67">
        <v>40</v>
      </c>
      <c r="P72" s="67">
        <v>0</v>
      </c>
      <c r="Q72" s="67">
        <v>40</v>
      </c>
      <c r="R72" s="67">
        <v>24</v>
      </c>
      <c r="S72" s="67">
        <v>40</v>
      </c>
      <c r="T72" s="67">
        <v>34</v>
      </c>
      <c r="U72" s="67">
        <v>40</v>
      </c>
      <c r="V72" s="67">
        <v>18</v>
      </c>
      <c r="W72" s="67">
        <v>40</v>
      </c>
      <c r="X72" s="67">
        <v>0</v>
      </c>
      <c r="Y72" s="67">
        <v>40</v>
      </c>
      <c r="Z72" s="67">
        <v>0</v>
      </c>
      <c r="AA72" s="67">
        <v>40</v>
      </c>
      <c r="AB72" s="67">
        <v>0</v>
      </c>
      <c r="AC72" s="67">
        <v>40</v>
      </c>
      <c r="AD72" s="67">
        <v>0</v>
      </c>
      <c r="AE72" s="67">
        <f t="shared" si="27"/>
        <v>480</v>
      </c>
      <c r="AF72" s="67">
        <f t="shared" si="28"/>
        <v>76</v>
      </c>
    </row>
    <row r="73" spans="1:32" s="70" customFormat="1">
      <c r="A73" s="69"/>
      <c r="B73" s="50"/>
      <c r="E73" s="50"/>
      <c r="F73" s="68" t="s">
        <v>279</v>
      </c>
      <c r="G73" s="73">
        <f>H72/G72</f>
        <v>0</v>
      </c>
      <c r="H73" s="73"/>
      <c r="I73" s="73">
        <f t="shared" ref="I73" si="40">J72/I72</f>
        <v>0</v>
      </c>
      <c r="J73" s="73"/>
      <c r="K73" s="73">
        <f t="shared" ref="K73" si="41">L72/K72</f>
        <v>0</v>
      </c>
      <c r="L73" s="73"/>
      <c r="M73" s="73">
        <f t="shared" ref="M73" si="42">N72/M72</f>
        <v>0</v>
      </c>
      <c r="N73" s="73"/>
      <c r="O73" s="73">
        <f t="shared" ref="O73" si="43">P72/O72</f>
        <v>0</v>
      </c>
      <c r="P73" s="73"/>
      <c r="Q73" s="73">
        <f>R72/Q72</f>
        <v>0.6</v>
      </c>
      <c r="R73" s="73"/>
      <c r="S73" s="73">
        <f t="shared" ref="S73" si="44">T72/S72</f>
        <v>0.85</v>
      </c>
      <c r="T73" s="73"/>
      <c r="U73" s="73">
        <f t="shared" ref="U73" si="45">V72/U72</f>
        <v>0.45</v>
      </c>
      <c r="V73" s="73"/>
      <c r="W73" s="73">
        <f t="shared" ref="W73" si="46">X72/W72</f>
        <v>0</v>
      </c>
      <c r="X73" s="73"/>
      <c r="Y73" s="73">
        <f t="shared" ref="Y73" si="47">Z72/Y72</f>
        <v>0</v>
      </c>
      <c r="Z73" s="73"/>
      <c r="AA73" s="73">
        <f t="shared" ref="AA73" si="48">AB72/AA72</f>
        <v>0</v>
      </c>
      <c r="AB73" s="73"/>
      <c r="AC73" s="73">
        <f t="shared" ref="AC73" si="49">AD72/AC72</f>
        <v>0</v>
      </c>
      <c r="AD73" s="73"/>
      <c r="AE73" s="74">
        <f>AF72/AE72</f>
        <v>0.15833333333333333</v>
      </c>
      <c r="AF73" s="75"/>
    </row>
    <row r="74" spans="1:32" hidden="1">
      <c r="F74" s="67" t="s">
        <v>280</v>
      </c>
      <c r="G74" s="67">
        <v>16</v>
      </c>
      <c r="H74" s="67">
        <v>0</v>
      </c>
      <c r="I74" s="67">
        <v>16</v>
      </c>
      <c r="J74" s="67">
        <v>0</v>
      </c>
      <c r="K74" s="67">
        <v>16</v>
      </c>
      <c r="L74" s="67">
        <v>0</v>
      </c>
      <c r="M74" s="67">
        <v>16</v>
      </c>
      <c r="N74" s="67">
        <v>0</v>
      </c>
      <c r="O74" s="67">
        <v>16</v>
      </c>
      <c r="P74" s="67">
        <v>0</v>
      </c>
      <c r="Q74" s="67">
        <v>16</v>
      </c>
      <c r="R74" s="67">
        <v>4</v>
      </c>
      <c r="S74" s="67">
        <v>16</v>
      </c>
      <c r="T74" s="67">
        <v>5</v>
      </c>
      <c r="U74" s="67">
        <v>16</v>
      </c>
      <c r="V74" s="67">
        <v>9</v>
      </c>
      <c r="W74" s="67">
        <v>16</v>
      </c>
      <c r="X74" s="67">
        <v>0</v>
      </c>
      <c r="Y74" s="67">
        <v>16</v>
      </c>
      <c r="Z74" s="67">
        <v>0</v>
      </c>
      <c r="AA74" s="67">
        <v>16</v>
      </c>
      <c r="AB74" s="67">
        <v>0</v>
      </c>
      <c r="AC74" s="67">
        <v>16</v>
      </c>
      <c r="AD74" s="67">
        <v>0</v>
      </c>
      <c r="AE74" s="67">
        <f t="shared" si="27"/>
        <v>192</v>
      </c>
      <c r="AF74" s="67">
        <f t="shared" si="28"/>
        <v>18</v>
      </c>
    </row>
    <row r="75" spans="1:32" s="70" customFormat="1">
      <c r="A75" s="69"/>
      <c r="B75" s="50"/>
      <c r="E75" s="50"/>
      <c r="F75" s="68" t="s">
        <v>281</v>
      </c>
      <c r="G75" s="73">
        <f>H74/G74</f>
        <v>0</v>
      </c>
      <c r="H75" s="73"/>
      <c r="I75" s="73">
        <f t="shared" ref="I75" si="50">J74/I74</f>
        <v>0</v>
      </c>
      <c r="J75" s="73"/>
      <c r="K75" s="73">
        <f t="shared" ref="K75" si="51">L74/K74</f>
        <v>0</v>
      </c>
      <c r="L75" s="73"/>
      <c r="M75" s="73">
        <f t="shared" ref="M75" si="52">N74/M74</f>
        <v>0</v>
      </c>
      <c r="N75" s="73"/>
      <c r="O75" s="73">
        <f t="shared" ref="O75" si="53">P74/O74</f>
        <v>0</v>
      </c>
      <c r="P75" s="73"/>
      <c r="Q75" s="73">
        <f>R74/Q74</f>
        <v>0.25</v>
      </c>
      <c r="R75" s="73"/>
      <c r="S75" s="73">
        <f t="shared" ref="S75" si="54">T74/S74</f>
        <v>0.3125</v>
      </c>
      <c r="T75" s="73"/>
      <c r="U75" s="73">
        <f t="shared" ref="U75" si="55">V74/U74</f>
        <v>0.5625</v>
      </c>
      <c r="V75" s="73"/>
      <c r="W75" s="73">
        <f t="shared" ref="W75" si="56">X74/W74</f>
        <v>0</v>
      </c>
      <c r="X75" s="73"/>
      <c r="Y75" s="73">
        <f t="shared" ref="Y75" si="57">Z74/Y74</f>
        <v>0</v>
      </c>
      <c r="Z75" s="73"/>
      <c r="AA75" s="73">
        <f t="shared" ref="AA75" si="58">AB74/AA74</f>
        <v>0</v>
      </c>
      <c r="AB75" s="73"/>
      <c r="AC75" s="73">
        <f t="shared" ref="AC75" si="59">AD74/AC74</f>
        <v>0</v>
      </c>
      <c r="AD75" s="73"/>
      <c r="AE75" s="74">
        <f>AF74/AE74</f>
        <v>9.375E-2</v>
      </c>
      <c r="AF75" s="75"/>
    </row>
  </sheetData>
  <autoFilter ref="A1:AG60" xr:uid="{E8D27F2E-B69F-425F-AB8A-5E0B312D4E21}">
    <filterColumn colId="4">
      <filters blank="1">
        <filter val="% FLM Inspection"/>
        <filter val="3200"/>
        <filter val="4110"/>
        <filter val="4300"/>
      </filters>
    </filterColumn>
  </autoFilter>
  <mergeCells count="97">
    <mergeCell ref="AE2:AF2"/>
    <mergeCell ref="AE56:AF57"/>
    <mergeCell ref="I59:J60"/>
    <mergeCell ref="K59:L60"/>
    <mergeCell ref="M59:N60"/>
    <mergeCell ref="AA56:AB57"/>
    <mergeCell ref="AC56:AD57"/>
    <mergeCell ref="Y2:Z2"/>
    <mergeCell ref="AA2:AB2"/>
    <mergeCell ref="AC2:AD2"/>
    <mergeCell ref="O59:P60"/>
    <mergeCell ref="Q59:R60"/>
    <mergeCell ref="O2:P2"/>
    <mergeCell ref="W56:X57"/>
    <mergeCell ref="Y56:Z57"/>
    <mergeCell ref="Q2:R2"/>
    <mergeCell ref="W2:X2"/>
    <mergeCell ref="G59:H60"/>
    <mergeCell ref="S59:T60"/>
    <mergeCell ref="U59:V60"/>
    <mergeCell ref="O56:P57"/>
    <mergeCell ref="Q56:R57"/>
    <mergeCell ref="E56:F56"/>
    <mergeCell ref="G2:H2"/>
    <mergeCell ref="I2:J2"/>
    <mergeCell ref="K2:L2"/>
    <mergeCell ref="M2:N2"/>
    <mergeCell ref="G56:H57"/>
    <mergeCell ref="I56:J57"/>
    <mergeCell ref="K56:L57"/>
    <mergeCell ref="M56:N57"/>
    <mergeCell ref="W67:X67"/>
    <mergeCell ref="Y67:Z67"/>
    <mergeCell ref="G67:H67"/>
    <mergeCell ref="I67:J67"/>
    <mergeCell ref="K67:L67"/>
    <mergeCell ref="M67:N67"/>
    <mergeCell ref="O67:P67"/>
    <mergeCell ref="M71:N71"/>
    <mergeCell ref="O71:P71"/>
    <mergeCell ref="AA67:AB67"/>
    <mergeCell ref="AC67:AD67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Q67:R67"/>
    <mergeCell ref="S67:T67"/>
    <mergeCell ref="U67:V67"/>
    <mergeCell ref="Q71:R71"/>
    <mergeCell ref="S71:T71"/>
    <mergeCell ref="U71:V71"/>
    <mergeCell ref="W71:X71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G71:H71"/>
    <mergeCell ref="I71:J71"/>
    <mergeCell ref="K71:L71"/>
    <mergeCell ref="G75:H75"/>
    <mergeCell ref="I75:J75"/>
    <mergeCell ref="K75:L75"/>
    <mergeCell ref="M75:N75"/>
    <mergeCell ref="O75:P75"/>
    <mergeCell ref="AA71:AB71"/>
    <mergeCell ref="AA73:AB73"/>
    <mergeCell ref="AA75:AB75"/>
    <mergeCell ref="AC69:AD69"/>
    <mergeCell ref="AC71:AD71"/>
    <mergeCell ref="AC73:AD73"/>
    <mergeCell ref="D66:F66"/>
    <mergeCell ref="AC75:AD75"/>
    <mergeCell ref="AE69:AF69"/>
    <mergeCell ref="AE71:AF71"/>
    <mergeCell ref="AE73:AF73"/>
    <mergeCell ref="AE75:AF75"/>
    <mergeCell ref="Q75:R75"/>
    <mergeCell ref="S75:T75"/>
    <mergeCell ref="U75:V75"/>
    <mergeCell ref="W75:X75"/>
    <mergeCell ref="AE67:AF67"/>
    <mergeCell ref="Y69:Z69"/>
    <mergeCell ref="Y71:Z71"/>
    <mergeCell ref="Y73:Z73"/>
    <mergeCell ref="Y75:Z75"/>
    <mergeCell ref="AA69:AB69"/>
  </mergeCells>
  <phoneticPr fontId="2" type="noConversion"/>
  <conditionalFormatting sqref="H4:H54 J4:J54 L4:L54">
    <cfRule type="cellIs" dxfId="20" priority="27" operator="equal">
      <formula>0</formula>
    </cfRule>
    <cfRule type="cellIs" dxfId="19" priority="32" operator="lessThan">
      <formula>4</formula>
    </cfRule>
    <cfRule type="cellIs" dxfId="18" priority="33" operator="greaterThanOrEqual">
      <formula>4</formula>
    </cfRule>
  </conditionalFormatting>
  <conditionalFormatting sqref="N4:N54">
    <cfRule type="cellIs" dxfId="17" priority="22" operator="equal">
      <formula>0</formula>
    </cfRule>
    <cfRule type="cellIs" dxfId="16" priority="23" operator="lessThan">
      <formula>4</formula>
    </cfRule>
    <cfRule type="cellIs" dxfId="15" priority="24" operator="greaterThanOrEqual">
      <formula>4</formula>
    </cfRule>
  </conditionalFormatting>
  <conditionalFormatting sqref="P4:P54">
    <cfRule type="cellIs" dxfId="14" priority="13" operator="equal">
      <formula>0</formula>
    </cfRule>
    <cfRule type="cellIs" dxfId="13" priority="14" operator="lessThan">
      <formula>4</formula>
    </cfRule>
    <cfRule type="cellIs" dxfId="12" priority="15" operator="greaterThanOrEqual">
      <formula>4</formula>
    </cfRule>
  </conditionalFormatting>
  <conditionalFormatting sqref="R4:R54">
    <cfRule type="cellIs" dxfId="11" priority="10" operator="equal">
      <formula>0</formula>
    </cfRule>
    <cfRule type="cellIs" dxfId="10" priority="11" operator="lessThan">
      <formula>4</formula>
    </cfRule>
    <cfRule type="cellIs" dxfId="9" priority="12" operator="greaterThanOrEqual">
      <formula>4</formula>
    </cfRule>
  </conditionalFormatting>
  <conditionalFormatting sqref="T4:T54">
    <cfRule type="cellIs" dxfId="8" priority="7" operator="equal">
      <formula>0</formula>
    </cfRule>
    <cfRule type="cellIs" dxfId="7" priority="8" operator="lessThan">
      <formula>4</formula>
    </cfRule>
    <cfRule type="cellIs" dxfId="6" priority="9" operator="greaterThanOrEqual">
      <formula>4</formula>
    </cfRule>
  </conditionalFormatting>
  <conditionalFormatting sqref="V4:V54">
    <cfRule type="cellIs" dxfId="5" priority="4" operator="equal">
      <formula>0</formula>
    </cfRule>
    <cfRule type="cellIs" dxfId="4" priority="5" operator="lessThan">
      <formula>4</formula>
    </cfRule>
    <cfRule type="cellIs" dxfId="3" priority="6" operator="greaterThanOrEqual">
      <formula>4</formula>
    </cfRule>
  </conditionalFormatting>
  <conditionalFormatting sqref="X6:X54">
    <cfRule type="cellIs" dxfId="2" priority="1" operator="equal">
      <formula>0</formula>
    </cfRule>
    <cfRule type="cellIs" dxfId="1" priority="2" operator="lessThan">
      <formula>4</formula>
    </cfRule>
    <cfRule type="cellIs" dxfId="0" priority="3" operator="greaterThanOrEqual">
      <formula>4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307ae2-4b4c-4364-b3d8-af3c97afcc03">
      <Terms xmlns="http://schemas.microsoft.com/office/infopath/2007/PartnerControls"/>
    </lcf76f155ced4ddcb4097134ff3c332f>
    <TaxCatchAll xmlns="5913cfbb-aeca-4ba8-b5f3-f636bbf0ebb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1CD772E83A44488FF444F11914C58F" ma:contentTypeVersion="22" ma:contentTypeDescription="Create a new document." ma:contentTypeScope="" ma:versionID="ea59ad44eaf85890d16acdcb1ecd9f82">
  <xsd:schema xmlns:xsd="http://www.w3.org/2001/XMLSchema" xmlns:xs="http://www.w3.org/2001/XMLSchema" xmlns:p="http://schemas.microsoft.com/office/2006/metadata/properties" xmlns:ns2="4c307ae2-4b4c-4364-b3d8-af3c97afcc03" xmlns:ns3="5913cfbb-aeca-4ba8-b5f3-f636bbf0ebb4" targetNamespace="http://schemas.microsoft.com/office/2006/metadata/properties" ma:root="true" ma:fieldsID="b7e27b43d8e367ba788dfa48fb349596" ns2:_="" ns3:_="">
    <xsd:import namespace="4c307ae2-4b4c-4364-b3d8-af3c97afcc03"/>
    <xsd:import namespace="5913cfbb-aeca-4ba8-b5f3-f636bbf0eb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307ae2-4b4c-4364-b3d8-af3c97afcc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5a26052-1bf0-409f-8a84-82be1c828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13cfbb-aeca-4ba8-b5f3-f636bbf0ebb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c30c815-0731-4178-be60-c0e24bb3c0bc}" ma:internalName="TaxCatchAll" ma:showField="CatchAllData" ma:web="5913cfbb-aeca-4ba8-b5f3-f636bbf0eb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B2E70C-6B9A-4AD0-BDBE-61EB952DDD0D}"/>
</file>

<file path=customXml/itemProps2.xml><?xml version="1.0" encoding="utf-8"?>
<ds:datastoreItem xmlns:ds="http://schemas.openxmlformats.org/officeDocument/2006/customXml" ds:itemID="{7888A8E3-1DD7-4E37-AAC3-0B5216C5E3F8}"/>
</file>

<file path=customXml/itemProps3.xml><?xml version="1.0" encoding="utf-8"?>
<ds:datastoreItem xmlns:ds="http://schemas.openxmlformats.org/officeDocument/2006/customXml" ds:itemID="{9EB7BF55-51CB-4CD5-AA37-30070469B4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Wata Phattanapong</dc:creator>
  <cp:keywords/>
  <dc:description/>
  <cp:lastModifiedBy/>
  <cp:revision/>
  <dcterms:created xsi:type="dcterms:W3CDTF">2026-01-19T09:27:34Z</dcterms:created>
  <dcterms:modified xsi:type="dcterms:W3CDTF">2026-09-07T03:52:28Z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0x010100311CD772E83A44488FF444F11914C58F</vt:lpwstr>
  </property>
  <property fmtid="{D5CDD505-2E9C-101B-9397-08002B2CF9AE}" pid="3" name="MediaServiceImageTags">
    <vt:lpwstr/>
  </property>
</Properties>
</file>